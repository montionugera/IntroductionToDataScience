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 yWindow="24" windowWidth="11148" windowHeight="5316" activeTab="3"/>
  </bookViews>
  <sheets>
    <sheet name="Document Change History" sheetId="16" r:id="rId1"/>
    <sheet name="Engineer Member" sheetId="14" r:id="rId2"/>
    <sheet name="Skill Matrix_ENG" sheetId="4" r:id="rId3"/>
    <sheet name="Skill Database ENG" sheetId="7" r:id="rId4"/>
    <sheet name="PTP_ENG-23" sheetId="39" r:id="rId5"/>
    <sheet name="PTP_ENG-22" sheetId="38" r:id="rId6"/>
    <sheet name="PTP_ENG-21" sheetId="37" r:id="rId7"/>
    <sheet name="PTP_ENG-20" sheetId="36" r:id="rId8"/>
    <sheet name="PTP_ENG-19" sheetId="35" r:id="rId9"/>
    <sheet name="PTP_ENG-18" sheetId="34" r:id="rId10"/>
    <sheet name="PTP_ENG-17" sheetId="33" r:id="rId11"/>
    <sheet name="PTP_ENG-16" sheetId="32" r:id="rId12"/>
    <sheet name="PTP_ENG-15" sheetId="31" r:id="rId13"/>
    <sheet name="PTP_ENG-14" sheetId="30" r:id="rId14"/>
    <sheet name="PTP_ENG-13" sheetId="29" r:id="rId15"/>
    <sheet name="PTP_ENG-12" sheetId="28" r:id="rId16"/>
    <sheet name="PTP_ENG-11" sheetId="27" r:id="rId17"/>
    <sheet name="PTP_ENG-10" sheetId="26" r:id="rId18"/>
    <sheet name="PTP_ENG-9" sheetId="25" r:id="rId19"/>
    <sheet name="PTP_ENG-8" sheetId="24" r:id="rId20"/>
    <sheet name="PTP_ENG-7" sheetId="23" r:id="rId21"/>
    <sheet name="PTP_ENG-6" sheetId="22" r:id="rId22"/>
    <sheet name="PTP_ENG-5" sheetId="21" r:id="rId23"/>
    <sheet name="PTP_ENG-4" sheetId="20" r:id="rId24"/>
    <sheet name="PTP_ENG-3" sheetId="19" r:id="rId25"/>
    <sheet name="PTP_ENG-2" sheetId="18" r:id="rId26"/>
    <sheet name="PTP_ENG-1" sheetId="17" r:id="rId27"/>
    <sheet name="Training Survey_ENG" sheetId="13" r:id="rId28"/>
    <sheet name="PTP_ENG" sheetId="15" r:id="rId29"/>
  </sheets>
  <definedNames>
    <definedName name="_xlnm._FilterDatabase" localSheetId="3" hidden="1">'Skill Database ENG'!$A$1:$AG$24</definedName>
    <definedName name="Marketing_Skill" localSheetId="26">#REF!</definedName>
    <definedName name="Marketing_Skill" localSheetId="17">#REF!</definedName>
    <definedName name="Marketing_Skill" localSheetId="16">#REF!</definedName>
    <definedName name="Marketing_Skill" localSheetId="15">#REF!</definedName>
    <definedName name="Marketing_Skill" localSheetId="14">#REF!</definedName>
    <definedName name="Marketing_Skill" localSheetId="13">#REF!</definedName>
    <definedName name="Marketing_Skill" localSheetId="12">#REF!</definedName>
    <definedName name="Marketing_Skill" localSheetId="11">#REF!</definedName>
    <definedName name="Marketing_Skill" localSheetId="10">#REF!</definedName>
    <definedName name="Marketing_Skill" localSheetId="9">#REF!</definedName>
    <definedName name="Marketing_Skill" localSheetId="8">#REF!</definedName>
    <definedName name="Marketing_Skill" localSheetId="25">#REF!</definedName>
    <definedName name="Marketing_Skill" localSheetId="7">#REF!</definedName>
    <definedName name="Marketing_Skill" localSheetId="6">#REF!</definedName>
    <definedName name="Marketing_Skill" localSheetId="5">#REF!</definedName>
    <definedName name="Marketing_Skill" localSheetId="4">#REF!</definedName>
    <definedName name="Marketing_Skill" localSheetId="24">#REF!</definedName>
    <definedName name="Marketing_Skill" localSheetId="23">#REF!</definedName>
    <definedName name="Marketing_Skill" localSheetId="22">#REF!</definedName>
    <definedName name="Marketing_Skill" localSheetId="21">#REF!</definedName>
    <definedName name="Marketing_Skill" localSheetId="20">#REF!</definedName>
    <definedName name="Marketing_Skill" localSheetId="19">#REF!</definedName>
    <definedName name="Marketing_Skill" localSheetId="18">#REF!</definedName>
    <definedName name="Marketing_Skill">#REF!</definedName>
  </definedNames>
  <calcPr calcId="144525"/>
</workbook>
</file>

<file path=xl/calcChain.xml><?xml version="1.0" encoding="utf-8"?>
<calcChain xmlns="http://schemas.openxmlformats.org/spreadsheetml/2006/main">
  <c r="E53" i="18" l="1"/>
  <c r="AG19" i="7" l="1"/>
  <c r="AF19" i="7"/>
  <c r="AE19" i="7"/>
  <c r="AD19" i="7"/>
  <c r="AC19" i="7"/>
  <c r="AB19" i="7"/>
  <c r="AA19" i="7"/>
  <c r="Z19" i="7"/>
  <c r="Y19" i="7"/>
  <c r="X19" i="7"/>
  <c r="W19" i="7"/>
  <c r="V19" i="7"/>
  <c r="U19" i="7"/>
  <c r="T19" i="7"/>
  <c r="S19" i="7"/>
  <c r="R19" i="7"/>
  <c r="Q19" i="7"/>
  <c r="P19" i="7"/>
  <c r="O19" i="7"/>
  <c r="N19" i="7"/>
  <c r="M19" i="7"/>
  <c r="L19" i="7"/>
  <c r="K19" i="7"/>
  <c r="J19" i="7"/>
  <c r="I19" i="7"/>
  <c r="H19" i="7"/>
  <c r="G19" i="7"/>
  <c r="F19" i="7"/>
  <c r="E19" i="7"/>
  <c r="D19" i="7"/>
  <c r="C19" i="7"/>
  <c r="B19" i="7"/>
  <c r="H27" i="14"/>
  <c r="G27" i="14"/>
  <c r="F27" i="14"/>
  <c r="E27" i="14"/>
  <c r="D27" i="14"/>
  <c r="C27" i="14"/>
  <c r="I69" i="39"/>
  <c r="J69" i="39" s="1"/>
  <c r="G69" i="39"/>
  <c r="H69" i="39" s="1"/>
  <c r="E69" i="39"/>
  <c r="F69" i="39" s="1"/>
  <c r="H53" i="39"/>
  <c r="F53" i="39"/>
  <c r="E53" i="39"/>
  <c r="G52" i="39"/>
  <c r="G51" i="39"/>
  <c r="G50" i="39"/>
  <c r="G49" i="39"/>
  <c r="G48" i="39"/>
  <c r="G47" i="39"/>
  <c r="G46" i="39"/>
  <c r="G45" i="39"/>
  <c r="G44" i="39"/>
  <c r="G43" i="39"/>
  <c r="G42" i="39"/>
  <c r="G41" i="39"/>
  <c r="G40" i="39"/>
  <c r="G39" i="39"/>
  <c r="G38" i="39"/>
  <c r="G37" i="39"/>
  <c r="G36" i="39"/>
  <c r="G35" i="39"/>
  <c r="G34" i="39"/>
  <c r="G33" i="39"/>
  <c r="G32" i="39"/>
  <c r="G31" i="39"/>
  <c r="G30" i="39"/>
  <c r="G29" i="39"/>
  <c r="G28" i="39"/>
  <c r="G27" i="39"/>
  <c r="AG24" i="7"/>
  <c r="AF24" i="7"/>
  <c r="AE24" i="7"/>
  <c r="AD24" i="7"/>
  <c r="AC24" i="7"/>
  <c r="AB24" i="7"/>
  <c r="AA24" i="7"/>
  <c r="Z24" i="7"/>
  <c r="Y24" i="7"/>
  <c r="X24" i="7"/>
  <c r="W24" i="7"/>
  <c r="V24" i="7"/>
  <c r="U24" i="7"/>
  <c r="T24" i="7"/>
  <c r="S24" i="7"/>
  <c r="R24" i="7"/>
  <c r="Q24" i="7"/>
  <c r="P24" i="7"/>
  <c r="O24" i="7"/>
  <c r="N24" i="7"/>
  <c r="M24" i="7"/>
  <c r="L24" i="7"/>
  <c r="K24" i="7"/>
  <c r="J24" i="7"/>
  <c r="I24" i="7"/>
  <c r="H24" i="7"/>
  <c r="G24" i="7"/>
  <c r="F24" i="7"/>
  <c r="E24" i="7"/>
  <c r="D24" i="7"/>
  <c r="C24" i="7"/>
  <c r="B24" i="7"/>
  <c r="H26" i="14"/>
  <c r="G26" i="14"/>
  <c r="F26" i="14"/>
  <c r="E26" i="14"/>
  <c r="D26" i="14"/>
  <c r="C26" i="14"/>
  <c r="I69" i="38"/>
  <c r="J69" i="38" s="1"/>
  <c r="G69" i="38"/>
  <c r="H69" i="38" s="1"/>
  <c r="E69" i="38"/>
  <c r="F69" i="38" s="1"/>
  <c r="H53" i="38"/>
  <c r="F53" i="38"/>
  <c r="E53" i="38"/>
  <c r="G52" i="38"/>
  <c r="G51" i="38"/>
  <c r="G50" i="38"/>
  <c r="G49" i="38"/>
  <c r="G48" i="38"/>
  <c r="G47" i="38"/>
  <c r="G46" i="38"/>
  <c r="G45" i="38"/>
  <c r="G44" i="38"/>
  <c r="G43" i="38"/>
  <c r="G42" i="38"/>
  <c r="G41" i="38"/>
  <c r="G40" i="38"/>
  <c r="G39" i="38"/>
  <c r="G38" i="38"/>
  <c r="G37" i="38"/>
  <c r="G36" i="38"/>
  <c r="G35" i="38"/>
  <c r="G34" i="38"/>
  <c r="G33" i="38"/>
  <c r="G32" i="38"/>
  <c r="G31" i="38"/>
  <c r="G30" i="38"/>
  <c r="G29" i="38"/>
  <c r="G28" i="38"/>
  <c r="G27" i="38"/>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B16" i="7"/>
  <c r="H25" i="14"/>
  <c r="G25" i="14"/>
  <c r="F25" i="14"/>
  <c r="E25" i="14"/>
  <c r="D25" i="14"/>
  <c r="C25" i="14"/>
  <c r="I69" i="37"/>
  <c r="J69" i="37" s="1"/>
  <c r="H69" i="37"/>
  <c r="G69" i="37"/>
  <c r="E69" i="37"/>
  <c r="F69" i="37" s="1"/>
  <c r="H53" i="37"/>
  <c r="F53" i="37"/>
  <c r="E53" i="37"/>
  <c r="G52" i="37"/>
  <c r="G51" i="37"/>
  <c r="G50" i="37"/>
  <c r="G49" i="37"/>
  <c r="G48" i="37"/>
  <c r="G47" i="37"/>
  <c r="G46" i="37"/>
  <c r="G45" i="37"/>
  <c r="G44" i="37"/>
  <c r="G43" i="37"/>
  <c r="G42" i="37"/>
  <c r="G41" i="37"/>
  <c r="G40" i="37"/>
  <c r="G39" i="37"/>
  <c r="G38" i="37"/>
  <c r="G37" i="37"/>
  <c r="G36" i="37"/>
  <c r="G35" i="37"/>
  <c r="G34" i="37"/>
  <c r="G33" i="37"/>
  <c r="G32" i="37"/>
  <c r="G31" i="37"/>
  <c r="G30" i="37"/>
  <c r="G29" i="37"/>
  <c r="G28" i="37"/>
  <c r="G27" i="3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B17" i="7"/>
  <c r="H24" i="14"/>
  <c r="G24" i="14"/>
  <c r="F24" i="14"/>
  <c r="E24" i="14"/>
  <c r="D24" i="14"/>
  <c r="C24" i="14"/>
  <c r="I69" i="36"/>
  <c r="J69" i="36" s="1"/>
  <c r="G69" i="36"/>
  <c r="H69" i="36" s="1"/>
  <c r="E69" i="36"/>
  <c r="F69" i="36" s="1"/>
  <c r="H53" i="36"/>
  <c r="F53" i="36"/>
  <c r="E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B15" i="7"/>
  <c r="H23" i="14"/>
  <c r="G23" i="14"/>
  <c r="F23" i="14"/>
  <c r="E23" i="14"/>
  <c r="D23" i="14"/>
  <c r="C23" i="14"/>
  <c r="I69" i="35"/>
  <c r="J69" i="35" s="1"/>
  <c r="G69" i="35"/>
  <c r="H69" i="35" s="1"/>
  <c r="E69" i="35"/>
  <c r="F69" i="35" s="1"/>
  <c r="H53" i="35"/>
  <c r="F53" i="35"/>
  <c r="E53" i="35"/>
  <c r="G52" i="35"/>
  <c r="G51" i="35"/>
  <c r="G50" i="35"/>
  <c r="G49" i="35"/>
  <c r="G48" i="35"/>
  <c r="G47" i="35"/>
  <c r="G46" i="35"/>
  <c r="G45" i="35"/>
  <c r="G44" i="35"/>
  <c r="G43" i="35"/>
  <c r="G42" i="35"/>
  <c r="G41" i="35"/>
  <c r="G40" i="35"/>
  <c r="G39" i="35"/>
  <c r="G38" i="35"/>
  <c r="G37" i="35"/>
  <c r="G36" i="35"/>
  <c r="G35" i="35"/>
  <c r="G34" i="35"/>
  <c r="G33" i="35"/>
  <c r="G32" i="35"/>
  <c r="G31" i="35"/>
  <c r="G30" i="35"/>
  <c r="G29" i="35"/>
  <c r="G28" i="35"/>
  <c r="G27" i="35"/>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D21" i="7"/>
  <c r="C21" i="7"/>
  <c r="B21" i="7"/>
  <c r="H22" i="14"/>
  <c r="G22" i="14"/>
  <c r="F22" i="14"/>
  <c r="E22" i="14"/>
  <c r="D22" i="14"/>
  <c r="C22" i="14"/>
  <c r="I69" i="34"/>
  <c r="J69" i="34" s="1"/>
  <c r="G69" i="34"/>
  <c r="H69" i="34" s="1"/>
  <c r="E69" i="34"/>
  <c r="F69" i="34" s="1"/>
  <c r="H53" i="34"/>
  <c r="F53" i="34"/>
  <c r="E53" i="34"/>
  <c r="G52" i="34"/>
  <c r="G51" i="34"/>
  <c r="G50" i="34"/>
  <c r="G49" i="34"/>
  <c r="G48" i="34"/>
  <c r="G47" i="34"/>
  <c r="G46" i="34"/>
  <c r="G45" i="34"/>
  <c r="G44" i="34"/>
  <c r="G43" i="34"/>
  <c r="G42" i="34"/>
  <c r="G41" i="34"/>
  <c r="G40" i="34"/>
  <c r="G39" i="34"/>
  <c r="G38" i="34"/>
  <c r="G37" i="34"/>
  <c r="G36" i="34"/>
  <c r="G35" i="34"/>
  <c r="G34" i="34"/>
  <c r="G33" i="34"/>
  <c r="G32" i="34"/>
  <c r="G31" i="34"/>
  <c r="G30" i="34"/>
  <c r="G29" i="34"/>
  <c r="G28" i="34"/>
  <c r="G27" i="34"/>
  <c r="AG4" i="7"/>
  <c r="AF4" i="7"/>
  <c r="AE4" i="7"/>
  <c r="AD4" i="7"/>
  <c r="AC4" i="7"/>
  <c r="AB4" i="7"/>
  <c r="AA4" i="7"/>
  <c r="Z4" i="7"/>
  <c r="Y4" i="7"/>
  <c r="X4" i="7"/>
  <c r="W4" i="7"/>
  <c r="V4" i="7"/>
  <c r="U4" i="7"/>
  <c r="T4" i="7"/>
  <c r="S4" i="7"/>
  <c r="R4" i="7"/>
  <c r="Q4" i="7"/>
  <c r="P4" i="7"/>
  <c r="O4" i="7"/>
  <c r="N4" i="7"/>
  <c r="M4" i="7"/>
  <c r="L4" i="7"/>
  <c r="K4" i="7"/>
  <c r="J4" i="7"/>
  <c r="I4" i="7"/>
  <c r="H4" i="7"/>
  <c r="G4" i="7"/>
  <c r="F4" i="7"/>
  <c r="E4" i="7"/>
  <c r="D4" i="7"/>
  <c r="C4" i="7"/>
  <c r="B4" i="7"/>
  <c r="H21" i="14"/>
  <c r="G21" i="14"/>
  <c r="F21" i="14"/>
  <c r="E21" i="14"/>
  <c r="D21" i="14"/>
  <c r="C21" i="14"/>
  <c r="I69" i="33"/>
  <c r="J69" i="33" s="1"/>
  <c r="G69" i="33"/>
  <c r="H69" i="33" s="1"/>
  <c r="E69" i="33"/>
  <c r="F69" i="33" s="1"/>
  <c r="H53" i="33"/>
  <c r="F53" i="33"/>
  <c r="E53" i="33"/>
  <c r="G52" i="33"/>
  <c r="G51" i="33"/>
  <c r="G50" i="33"/>
  <c r="G49" i="33"/>
  <c r="G48" i="33"/>
  <c r="G47" i="33"/>
  <c r="G46" i="33"/>
  <c r="G45" i="33"/>
  <c r="G44" i="33"/>
  <c r="G43" i="33"/>
  <c r="G42" i="33"/>
  <c r="G41" i="33"/>
  <c r="G40" i="33"/>
  <c r="G39" i="33"/>
  <c r="G38" i="33"/>
  <c r="G37" i="33"/>
  <c r="G36" i="33"/>
  <c r="G35" i="33"/>
  <c r="G34" i="33"/>
  <c r="G33" i="33"/>
  <c r="G32" i="33"/>
  <c r="G31" i="33"/>
  <c r="G30" i="33"/>
  <c r="G29" i="33"/>
  <c r="G28" i="33"/>
  <c r="G27" i="33"/>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B14" i="7"/>
  <c r="H20" i="14"/>
  <c r="G20" i="14"/>
  <c r="F20" i="14"/>
  <c r="E20" i="14"/>
  <c r="D20" i="14"/>
  <c r="C20" i="14"/>
  <c r="I69" i="32"/>
  <c r="J69" i="32" s="1"/>
  <c r="G69" i="32"/>
  <c r="H69" i="32" s="1"/>
  <c r="E69" i="32"/>
  <c r="F69" i="32" s="1"/>
  <c r="H53" i="32"/>
  <c r="F53" i="32"/>
  <c r="E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AG6" i="7"/>
  <c r="AF6" i="7"/>
  <c r="AE6" i="7"/>
  <c r="AD6" i="7"/>
  <c r="AC6" i="7"/>
  <c r="AB6" i="7"/>
  <c r="AA6" i="7"/>
  <c r="Z6" i="7"/>
  <c r="Y6" i="7"/>
  <c r="X6" i="7"/>
  <c r="W6" i="7"/>
  <c r="V6" i="7"/>
  <c r="U6" i="7"/>
  <c r="T6" i="7"/>
  <c r="S6" i="7"/>
  <c r="R6" i="7"/>
  <c r="Q6" i="7"/>
  <c r="P6" i="7"/>
  <c r="O6" i="7"/>
  <c r="N6" i="7"/>
  <c r="M6" i="7"/>
  <c r="L6" i="7"/>
  <c r="K6" i="7"/>
  <c r="J6" i="7"/>
  <c r="I6" i="7"/>
  <c r="H6" i="7"/>
  <c r="G6" i="7"/>
  <c r="F6" i="7"/>
  <c r="E6" i="7"/>
  <c r="D6" i="7"/>
  <c r="C6" i="7"/>
  <c r="B6" i="7"/>
  <c r="H19" i="14"/>
  <c r="G19" i="14"/>
  <c r="F19" i="14"/>
  <c r="E19" i="14"/>
  <c r="D19" i="14"/>
  <c r="C19" i="14"/>
  <c r="I69" i="31"/>
  <c r="J69" i="31" s="1"/>
  <c r="H69" i="31"/>
  <c r="G69" i="31"/>
  <c r="E69" i="31"/>
  <c r="F69" i="31" s="1"/>
  <c r="H53" i="31"/>
  <c r="F53" i="31"/>
  <c r="E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AG23" i="7"/>
  <c r="AF23" i="7"/>
  <c r="AE23" i="7"/>
  <c r="AD23" i="7"/>
  <c r="AC23" i="7"/>
  <c r="AB23" i="7"/>
  <c r="AA23" i="7"/>
  <c r="Z23" i="7"/>
  <c r="Y23" i="7"/>
  <c r="X23" i="7"/>
  <c r="W23" i="7"/>
  <c r="V23" i="7"/>
  <c r="U23" i="7"/>
  <c r="T23" i="7"/>
  <c r="S23" i="7"/>
  <c r="R23" i="7"/>
  <c r="Q23" i="7"/>
  <c r="P23" i="7"/>
  <c r="O23" i="7"/>
  <c r="N23" i="7"/>
  <c r="M23" i="7"/>
  <c r="L23" i="7"/>
  <c r="K23" i="7"/>
  <c r="J23" i="7"/>
  <c r="I23" i="7"/>
  <c r="H23" i="7"/>
  <c r="G23" i="7"/>
  <c r="F23" i="7"/>
  <c r="E23" i="7"/>
  <c r="D23" i="7"/>
  <c r="C23" i="7"/>
  <c r="B23" i="7"/>
  <c r="H18" i="14"/>
  <c r="G18" i="14"/>
  <c r="F18" i="14"/>
  <c r="E18" i="14"/>
  <c r="D18" i="14"/>
  <c r="C18" i="14"/>
  <c r="I69" i="30"/>
  <c r="J69" i="30" s="1"/>
  <c r="G69" i="30"/>
  <c r="H69" i="30" s="1"/>
  <c r="E69" i="30"/>
  <c r="F69" i="30" s="1"/>
  <c r="H53" i="30"/>
  <c r="F53" i="30"/>
  <c r="E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B18" i="7"/>
  <c r="H17" i="14"/>
  <c r="G17" i="14"/>
  <c r="F17" i="14"/>
  <c r="E17" i="14"/>
  <c r="D17" i="14"/>
  <c r="C17" i="14"/>
  <c r="I69" i="29"/>
  <c r="J69" i="29" s="1"/>
  <c r="G69" i="29"/>
  <c r="H69" i="29" s="1"/>
  <c r="E69" i="29"/>
  <c r="F69" i="29" s="1"/>
  <c r="H53" i="29"/>
  <c r="F53" i="29"/>
  <c r="E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D12" i="7"/>
  <c r="C12" i="7"/>
  <c r="B12" i="7"/>
  <c r="H16" i="14"/>
  <c r="G16" i="14"/>
  <c r="F16" i="14"/>
  <c r="E16" i="14"/>
  <c r="D16" i="14"/>
  <c r="C16" i="14"/>
  <c r="I69" i="28"/>
  <c r="J69" i="28" s="1"/>
  <c r="H69" i="28"/>
  <c r="G69" i="28"/>
  <c r="E69" i="28"/>
  <c r="F69" i="28" s="1"/>
  <c r="H53" i="28"/>
  <c r="F53" i="28"/>
  <c r="E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AG20" i="7"/>
  <c r="AF20" i="7"/>
  <c r="AE20" i="7"/>
  <c r="AD20" i="7"/>
  <c r="AC20" i="7"/>
  <c r="AB20" i="7"/>
  <c r="AA20" i="7"/>
  <c r="Z20" i="7"/>
  <c r="Y20" i="7"/>
  <c r="X20" i="7"/>
  <c r="W20" i="7"/>
  <c r="V20" i="7"/>
  <c r="U20" i="7"/>
  <c r="T20" i="7"/>
  <c r="S20" i="7"/>
  <c r="R20" i="7"/>
  <c r="Q20" i="7"/>
  <c r="P20" i="7"/>
  <c r="O20" i="7"/>
  <c r="N20" i="7"/>
  <c r="M20" i="7"/>
  <c r="L20" i="7"/>
  <c r="K20" i="7"/>
  <c r="J20" i="7"/>
  <c r="I20" i="7"/>
  <c r="H20" i="7"/>
  <c r="G20" i="7"/>
  <c r="F20" i="7"/>
  <c r="E20" i="7"/>
  <c r="D20" i="7"/>
  <c r="C20" i="7"/>
  <c r="B20" i="7"/>
  <c r="H15" i="14"/>
  <c r="G15" i="14"/>
  <c r="F15" i="14"/>
  <c r="E15" i="14"/>
  <c r="D15" i="14"/>
  <c r="C15" i="14"/>
  <c r="I69" i="27"/>
  <c r="J69" i="27" s="1"/>
  <c r="G69" i="27"/>
  <c r="H69" i="27" s="1"/>
  <c r="E69" i="27"/>
  <c r="F69" i="27" s="1"/>
  <c r="H53" i="27"/>
  <c r="F53" i="27"/>
  <c r="E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D11" i="7"/>
  <c r="C11" i="7"/>
  <c r="B11" i="7"/>
  <c r="H14" i="14"/>
  <c r="G14" i="14"/>
  <c r="F14" i="14"/>
  <c r="E14" i="14"/>
  <c r="D14" i="14"/>
  <c r="C14" i="14"/>
  <c r="I69" i="26"/>
  <c r="J69" i="26" s="1"/>
  <c r="H69" i="26"/>
  <c r="G69" i="26"/>
  <c r="E69" i="26"/>
  <c r="F69" i="26" s="1"/>
  <c r="H53" i="26"/>
  <c r="F53" i="26"/>
  <c r="E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AG22" i="7"/>
  <c r="AF22" i="7"/>
  <c r="AE22" i="7"/>
  <c r="AD22" i="7"/>
  <c r="AC22" i="7"/>
  <c r="AB22" i="7"/>
  <c r="AA22" i="7"/>
  <c r="Z22" i="7"/>
  <c r="Y22" i="7"/>
  <c r="X22" i="7"/>
  <c r="W22" i="7"/>
  <c r="V22" i="7"/>
  <c r="U22" i="7"/>
  <c r="T22" i="7"/>
  <c r="S22" i="7"/>
  <c r="R22" i="7"/>
  <c r="Q22" i="7"/>
  <c r="P22" i="7"/>
  <c r="O22" i="7"/>
  <c r="N22" i="7"/>
  <c r="M22" i="7"/>
  <c r="L22" i="7"/>
  <c r="K22" i="7"/>
  <c r="J22" i="7"/>
  <c r="I22" i="7"/>
  <c r="H22" i="7"/>
  <c r="G22" i="7"/>
  <c r="F22" i="7"/>
  <c r="E22" i="7"/>
  <c r="D22" i="7"/>
  <c r="C22" i="7"/>
  <c r="B22" i="7"/>
  <c r="H13" i="14"/>
  <c r="G13" i="14"/>
  <c r="F13" i="14"/>
  <c r="E13" i="14"/>
  <c r="D13" i="14"/>
  <c r="C13" i="14"/>
  <c r="I69" i="25"/>
  <c r="J69" i="25" s="1"/>
  <c r="G69" i="25"/>
  <c r="H69" i="25" s="1"/>
  <c r="E69" i="25"/>
  <c r="F69" i="25" s="1"/>
  <c r="H53" i="25"/>
  <c r="F53" i="25"/>
  <c r="E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AG3" i="7"/>
  <c r="AF3" i="7"/>
  <c r="AE3" i="7"/>
  <c r="AD3" i="7"/>
  <c r="AC3" i="7"/>
  <c r="AB3" i="7"/>
  <c r="AA3" i="7"/>
  <c r="Z3" i="7"/>
  <c r="Y3" i="7"/>
  <c r="X3" i="7"/>
  <c r="W3" i="7"/>
  <c r="V3" i="7"/>
  <c r="U3" i="7"/>
  <c r="T3" i="7"/>
  <c r="S3" i="7"/>
  <c r="R3" i="7"/>
  <c r="Q3" i="7"/>
  <c r="P3" i="7"/>
  <c r="O3" i="7"/>
  <c r="N3" i="7"/>
  <c r="M3" i="7"/>
  <c r="L3" i="7"/>
  <c r="K3" i="7"/>
  <c r="J3" i="7"/>
  <c r="I3" i="7"/>
  <c r="H3" i="7"/>
  <c r="G3" i="7"/>
  <c r="F3" i="7"/>
  <c r="E3" i="7"/>
  <c r="D3" i="7"/>
  <c r="C3" i="7"/>
  <c r="B3" i="7"/>
  <c r="H12" i="14"/>
  <c r="G12" i="14"/>
  <c r="F12" i="14"/>
  <c r="E12" i="14"/>
  <c r="D12" i="14"/>
  <c r="C12" i="14"/>
  <c r="I69" i="24"/>
  <c r="J69" i="24" s="1"/>
  <c r="H69" i="24"/>
  <c r="G69" i="24"/>
  <c r="E69" i="24"/>
  <c r="F69" i="24" s="1"/>
  <c r="H53" i="24"/>
  <c r="F53" i="24"/>
  <c r="E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AG10" i="7"/>
  <c r="AF10" i="7"/>
  <c r="AE10" i="7"/>
  <c r="AD10" i="7"/>
  <c r="AC10" i="7"/>
  <c r="AB10" i="7"/>
  <c r="AA10" i="7"/>
  <c r="Z10" i="7"/>
  <c r="Y10" i="7"/>
  <c r="X10" i="7"/>
  <c r="W10" i="7"/>
  <c r="V10" i="7"/>
  <c r="U10" i="7"/>
  <c r="T10" i="7"/>
  <c r="S10" i="7"/>
  <c r="R10" i="7"/>
  <c r="Q10" i="7"/>
  <c r="P10" i="7"/>
  <c r="O10" i="7"/>
  <c r="N10" i="7"/>
  <c r="M10" i="7"/>
  <c r="L10" i="7"/>
  <c r="K10" i="7"/>
  <c r="J10" i="7"/>
  <c r="I10" i="7"/>
  <c r="H10" i="7"/>
  <c r="G10" i="7"/>
  <c r="F10" i="7"/>
  <c r="E10" i="7"/>
  <c r="D10" i="7"/>
  <c r="C10" i="7"/>
  <c r="B10" i="7"/>
  <c r="H11" i="14"/>
  <c r="G11" i="14"/>
  <c r="F11" i="14"/>
  <c r="E11" i="14"/>
  <c r="D11" i="14"/>
  <c r="C11" i="14"/>
  <c r="I69" i="23"/>
  <c r="J69" i="23" s="1"/>
  <c r="G69" i="23"/>
  <c r="H69" i="23" s="1"/>
  <c r="E69" i="23"/>
  <c r="F69" i="23" s="1"/>
  <c r="H53" i="23"/>
  <c r="F53" i="23"/>
  <c r="E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D13" i="7"/>
  <c r="C13" i="7"/>
  <c r="B13" i="7"/>
  <c r="H10" i="14"/>
  <c r="G10" i="14"/>
  <c r="F10" i="14"/>
  <c r="E10" i="14"/>
  <c r="D10" i="14"/>
  <c r="C10" i="14"/>
  <c r="I69" i="22"/>
  <c r="J69" i="22" s="1"/>
  <c r="H69" i="22"/>
  <c r="G69" i="22"/>
  <c r="E69" i="22"/>
  <c r="F69" i="22" s="1"/>
  <c r="H53" i="22"/>
  <c r="F53" i="22"/>
  <c r="E53" i="22"/>
  <c r="G52" i="22"/>
  <c r="G51" i="22"/>
  <c r="G50" i="22"/>
  <c r="G49" i="22"/>
  <c r="G48" i="22"/>
  <c r="G47" i="22"/>
  <c r="G46" i="22"/>
  <c r="G45" i="22"/>
  <c r="G44" i="22"/>
  <c r="G43" i="22"/>
  <c r="G42" i="22"/>
  <c r="G41" i="22"/>
  <c r="G40" i="22"/>
  <c r="G39" i="22"/>
  <c r="G38" i="22"/>
  <c r="G37" i="22"/>
  <c r="G36" i="22"/>
  <c r="G35" i="22"/>
  <c r="G34" i="22"/>
  <c r="G33" i="22"/>
  <c r="G32" i="22"/>
  <c r="G31" i="22"/>
  <c r="G30" i="22"/>
  <c r="G29" i="22"/>
  <c r="G28" i="22"/>
  <c r="G27" i="22"/>
  <c r="AG8" i="7"/>
  <c r="AF8" i="7"/>
  <c r="AE8" i="7"/>
  <c r="AD8" i="7"/>
  <c r="AC8" i="7"/>
  <c r="AB8" i="7"/>
  <c r="AA8" i="7"/>
  <c r="Z8" i="7"/>
  <c r="Y8" i="7"/>
  <c r="X8" i="7"/>
  <c r="W8" i="7"/>
  <c r="V8" i="7"/>
  <c r="U8" i="7"/>
  <c r="T8" i="7"/>
  <c r="S8" i="7"/>
  <c r="R8" i="7"/>
  <c r="Q8" i="7"/>
  <c r="P8" i="7"/>
  <c r="O8" i="7"/>
  <c r="N8" i="7"/>
  <c r="M8" i="7"/>
  <c r="L8" i="7"/>
  <c r="K8" i="7"/>
  <c r="J8" i="7"/>
  <c r="I8" i="7"/>
  <c r="H8" i="7"/>
  <c r="G8" i="7"/>
  <c r="F8" i="7"/>
  <c r="E8" i="7"/>
  <c r="D8" i="7"/>
  <c r="C8" i="7"/>
  <c r="B8" i="7"/>
  <c r="H9" i="14"/>
  <c r="G9" i="14"/>
  <c r="F9" i="14"/>
  <c r="E9" i="14"/>
  <c r="D9" i="14"/>
  <c r="C9" i="14"/>
  <c r="I69" i="21"/>
  <c r="J69" i="21" s="1"/>
  <c r="G69" i="21"/>
  <c r="H69" i="21" s="1"/>
  <c r="E69" i="21"/>
  <c r="F69" i="21" s="1"/>
  <c r="H53" i="21"/>
  <c r="F53" i="21"/>
  <c r="E53" i="21"/>
  <c r="G52" i="21"/>
  <c r="G51" i="21"/>
  <c r="G50" i="21"/>
  <c r="G49" i="21"/>
  <c r="G48" i="21"/>
  <c r="G47" i="21"/>
  <c r="G46" i="21"/>
  <c r="G45" i="21"/>
  <c r="G44" i="21"/>
  <c r="G43" i="21"/>
  <c r="G42" i="21"/>
  <c r="G41" i="21"/>
  <c r="G40" i="21"/>
  <c r="G39" i="21"/>
  <c r="G38" i="21"/>
  <c r="G37" i="21"/>
  <c r="G36" i="21"/>
  <c r="G35" i="21"/>
  <c r="G34" i="21"/>
  <c r="G33" i="21"/>
  <c r="G32" i="21"/>
  <c r="G31" i="21"/>
  <c r="G30" i="21"/>
  <c r="G29" i="21"/>
  <c r="G28" i="21"/>
  <c r="G27" i="21"/>
  <c r="AG9" i="7"/>
  <c r="AF9" i="7"/>
  <c r="AE9" i="7"/>
  <c r="AD9" i="7"/>
  <c r="AC9" i="7"/>
  <c r="AB9" i="7"/>
  <c r="AA9" i="7"/>
  <c r="Z9" i="7"/>
  <c r="Y9" i="7"/>
  <c r="X9" i="7"/>
  <c r="W9" i="7"/>
  <c r="V9" i="7"/>
  <c r="U9" i="7"/>
  <c r="T9" i="7"/>
  <c r="S9" i="7"/>
  <c r="R9" i="7"/>
  <c r="Q9" i="7"/>
  <c r="P9" i="7"/>
  <c r="O9" i="7"/>
  <c r="N9" i="7"/>
  <c r="M9" i="7"/>
  <c r="L9" i="7"/>
  <c r="K9" i="7"/>
  <c r="J9" i="7"/>
  <c r="I9" i="7"/>
  <c r="H9" i="7"/>
  <c r="G9" i="7"/>
  <c r="F9" i="7"/>
  <c r="E9" i="7"/>
  <c r="D9" i="7"/>
  <c r="C9" i="7"/>
  <c r="B9" i="7"/>
  <c r="H8" i="14"/>
  <c r="G8" i="14"/>
  <c r="F8" i="14"/>
  <c r="E8" i="14"/>
  <c r="D8" i="14"/>
  <c r="C8" i="14"/>
  <c r="I69" i="20"/>
  <c r="J69" i="20" s="1"/>
  <c r="G69" i="20"/>
  <c r="H69" i="20" s="1"/>
  <c r="E69" i="20"/>
  <c r="F69" i="20" s="1"/>
  <c r="H53" i="20"/>
  <c r="F53" i="20"/>
  <c r="E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27" i="20"/>
  <c r="AG2" i="7"/>
  <c r="AF2" i="7"/>
  <c r="AE2" i="7"/>
  <c r="AD2" i="7"/>
  <c r="AC2" i="7"/>
  <c r="AB2" i="7"/>
  <c r="AA2" i="7"/>
  <c r="Z2" i="7"/>
  <c r="Y2" i="7"/>
  <c r="X2" i="7"/>
  <c r="W2" i="7"/>
  <c r="V2" i="7"/>
  <c r="U2" i="7"/>
  <c r="T2" i="7"/>
  <c r="S2" i="7"/>
  <c r="R2" i="7"/>
  <c r="Q2" i="7"/>
  <c r="P2" i="7"/>
  <c r="O2" i="7"/>
  <c r="N2" i="7"/>
  <c r="M2" i="7"/>
  <c r="L2" i="7"/>
  <c r="K2" i="7"/>
  <c r="J2" i="7"/>
  <c r="I2" i="7"/>
  <c r="H2" i="7"/>
  <c r="G2" i="7"/>
  <c r="F2" i="7"/>
  <c r="E2" i="7"/>
  <c r="D2" i="7"/>
  <c r="C2" i="7"/>
  <c r="B2" i="7"/>
  <c r="H7" i="14"/>
  <c r="G7" i="14"/>
  <c r="F7" i="14"/>
  <c r="E7" i="14"/>
  <c r="D7" i="14"/>
  <c r="C7" i="14"/>
  <c r="I69" i="19"/>
  <c r="J69" i="19" s="1"/>
  <c r="G69" i="19"/>
  <c r="H69" i="19" s="1"/>
  <c r="E69" i="19"/>
  <c r="F69" i="19" s="1"/>
  <c r="H53" i="19"/>
  <c r="F53" i="19"/>
  <c r="E53" i="19"/>
  <c r="G52" i="19"/>
  <c r="G51" i="19"/>
  <c r="G50" i="19"/>
  <c r="G49" i="19"/>
  <c r="G48" i="19"/>
  <c r="G47" i="19"/>
  <c r="G46" i="19"/>
  <c r="G45" i="19"/>
  <c r="G44" i="19"/>
  <c r="G43" i="19"/>
  <c r="G42" i="19"/>
  <c r="G41" i="19"/>
  <c r="G40" i="19"/>
  <c r="G39" i="19"/>
  <c r="G38" i="19"/>
  <c r="G37" i="19"/>
  <c r="G36" i="19"/>
  <c r="G35" i="19"/>
  <c r="G34" i="19"/>
  <c r="G33" i="19"/>
  <c r="G32" i="19"/>
  <c r="G31" i="19"/>
  <c r="G30" i="19"/>
  <c r="G29" i="19"/>
  <c r="G28" i="19"/>
  <c r="G27" i="19"/>
  <c r="AG7" i="7"/>
  <c r="AF7" i="7"/>
  <c r="AE7" i="7"/>
  <c r="AD7" i="7"/>
  <c r="AC7" i="7"/>
  <c r="AB7" i="7"/>
  <c r="AA7" i="7"/>
  <c r="Z7" i="7"/>
  <c r="Y7" i="7"/>
  <c r="X7" i="7"/>
  <c r="W7" i="7"/>
  <c r="V7" i="7"/>
  <c r="U7" i="7"/>
  <c r="T7" i="7"/>
  <c r="S7" i="7"/>
  <c r="R7" i="7"/>
  <c r="Q7" i="7"/>
  <c r="P7" i="7"/>
  <c r="O7" i="7"/>
  <c r="N7" i="7"/>
  <c r="M7" i="7"/>
  <c r="L7" i="7"/>
  <c r="K7" i="7"/>
  <c r="J7" i="7"/>
  <c r="I7" i="7"/>
  <c r="H7" i="7"/>
  <c r="G7" i="7"/>
  <c r="F7" i="7"/>
  <c r="E7" i="7"/>
  <c r="D7" i="7"/>
  <c r="C7" i="7"/>
  <c r="B7" i="7"/>
  <c r="H6" i="14"/>
  <c r="G6" i="14"/>
  <c r="F6" i="14"/>
  <c r="E6" i="14"/>
  <c r="D6" i="14"/>
  <c r="C6" i="14"/>
  <c r="I69" i="18"/>
  <c r="J69" i="18" s="1"/>
  <c r="H69" i="18"/>
  <c r="G69" i="18"/>
  <c r="E69" i="18"/>
  <c r="F69" i="18" s="1"/>
  <c r="H53" i="18"/>
  <c r="F53" i="18"/>
  <c r="G52" i="18"/>
  <c r="G51" i="18"/>
  <c r="G50" i="18"/>
  <c r="G49" i="18"/>
  <c r="G48" i="18"/>
  <c r="G47" i="18"/>
  <c r="G46" i="18"/>
  <c r="G45" i="18"/>
  <c r="G44" i="18"/>
  <c r="G43" i="18"/>
  <c r="G42" i="18"/>
  <c r="G41" i="18"/>
  <c r="G40" i="18"/>
  <c r="G39" i="18"/>
  <c r="G38" i="18"/>
  <c r="G37" i="18"/>
  <c r="G36" i="18"/>
  <c r="G35" i="18"/>
  <c r="G34" i="18"/>
  <c r="G33" i="18"/>
  <c r="G32" i="18"/>
  <c r="G31" i="18"/>
  <c r="G30" i="18"/>
  <c r="G29" i="18"/>
  <c r="G28" i="18"/>
  <c r="G27" i="18"/>
  <c r="AG5" i="7"/>
  <c r="AF5" i="7"/>
  <c r="AE5" i="7"/>
  <c r="AD5" i="7"/>
  <c r="AC5" i="7"/>
  <c r="AB5" i="7"/>
  <c r="AA5" i="7"/>
  <c r="Z5" i="7"/>
  <c r="Y5" i="7"/>
  <c r="X5" i="7"/>
  <c r="W5" i="7"/>
  <c r="V5" i="7"/>
  <c r="U5" i="7"/>
  <c r="T5" i="7"/>
  <c r="S5" i="7"/>
  <c r="R5" i="7"/>
  <c r="Q5" i="7"/>
  <c r="P5" i="7"/>
  <c r="O5" i="7"/>
  <c r="N5" i="7"/>
  <c r="M5" i="7"/>
  <c r="L5" i="7"/>
  <c r="K5" i="7"/>
  <c r="J5" i="7"/>
  <c r="I5" i="7"/>
  <c r="H5" i="7"/>
  <c r="G5" i="7"/>
  <c r="F5" i="7"/>
  <c r="E5" i="7"/>
  <c r="D5" i="7"/>
  <c r="C5" i="7"/>
  <c r="B5" i="7"/>
  <c r="H5" i="14"/>
  <c r="G5" i="14"/>
  <c r="F5" i="14"/>
  <c r="E5" i="14"/>
  <c r="D5" i="14"/>
  <c r="C5" i="14"/>
  <c r="I69" i="17"/>
  <c r="J69" i="17" s="1"/>
  <c r="G69" i="17"/>
  <c r="H69" i="17" s="1"/>
  <c r="E69" i="17"/>
  <c r="F69" i="17" s="1"/>
  <c r="H53" i="17"/>
  <c r="F53" i="17"/>
  <c r="E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43" i="15" l="1"/>
  <c r="G44" i="15"/>
  <c r="G45" i="15"/>
  <c r="G46" i="15"/>
  <c r="G47" i="15"/>
  <c r="G48" i="15"/>
  <c r="H53" i="15" l="1"/>
  <c r="F53" i="15"/>
  <c r="E53" i="15"/>
  <c r="G28" i="15"/>
  <c r="G29" i="15"/>
  <c r="G30" i="15"/>
  <c r="G31" i="15"/>
  <c r="G32" i="15"/>
  <c r="G33" i="15"/>
  <c r="G34" i="15"/>
  <c r="G35" i="15"/>
  <c r="G36" i="15"/>
  <c r="G37" i="15"/>
  <c r="G38" i="15"/>
  <c r="G39" i="15"/>
  <c r="G40" i="15"/>
  <c r="G41" i="15"/>
  <c r="G42" i="15"/>
  <c r="G49" i="15"/>
  <c r="G50" i="15"/>
  <c r="G51" i="15"/>
  <c r="G52" i="15"/>
  <c r="G27" i="15"/>
  <c r="I69" i="15"/>
  <c r="J69" i="15" s="1"/>
  <c r="G69" i="15"/>
  <c r="H69" i="15" s="1"/>
  <c r="E69" i="15" l="1"/>
  <c r="F69" i="15" s="1"/>
</calcChain>
</file>

<file path=xl/comments1.xml><?xml version="1.0" encoding="utf-8"?>
<comments xmlns="http://schemas.openxmlformats.org/spreadsheetml/2006/main">
  <authors>
    <author/>
  </authors>
  <commentList>
    <comment ref="E1" authorId="0">
      <text>
        <r>
          <rPr>
            <sz val="11"/>
            <color rgb="FF000000"/>
            <rFont val="Calibri"/>
            <family val="2"/>
          </rPr>
          <t>Nipon:
set forth the criteria (i.e., the experience, education, skills, duties/tasks, and supervision given/received)
typically used to distinguish between or among the various levels of a job.</t>
        </r>
      </text>
    </comment>
  </commentList>
</comments>
</file>

<file path=xl/comments2.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3.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4.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5.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6.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7.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8.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9.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0.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1.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2.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3.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4.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5.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6.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7.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8.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19.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0.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1.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2.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3.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4.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comments25.xml><?xml version="1.0" encoding="utf-8"?>
<comments xmlns="http://schemas.openxmlformats.org/spreadsheetml/2006/main">
  <authors>
    <author>Nipon</author>
  </authors>
  <commentList>
    <comment ref="B60" authorId="0">
      <text>
        <r>
          <rPr>
            <b/>
            <sz val="8"/>
            <color indexed="81"/>
            <rFont val="Tahoma"/>
            <family val="2"/>
          </rPr>
          <t>Nipon:</t>
        </r>
        <r>
          <rPr>
            <sz val="8"/>
            <color indexed="81"/>
            <rFont val="Tahoma"/>
            <family val="2"/>
          </rPr>
          <t xml:space="preserve">
</t>
        </r>
        <r>
          <rPr>
            <b/>
            <sz val="8"/>
            <color indexed="81"/>
            <rFont val="Tahoma"/>
            <family val="2"/>
          </rPr>
          <t>Level 5 (E): Exceptional</t>
        </r>
        <r>
          <rPr>
            <sz val="8"/>
            <color indexed="81"/>
            <rFont val="Tahoma"/>
            <family val="2"/>
          </rPr>
          <t xml:space="preserve">
เกินกว่าที่คาดหวังใว้อย่างไม่น่าเชื่อ เรียกได้ว่าโดดเด่น ไม่ว่าจะเป็นคุณภาพของงานที่ได้รับมอบหมาย และส่งผลให้งานโดยรวมสุดยอด ทั้งการทำให้บรรลุเป้าหมายของโปรเจค หรือ เสนอตัวเพื่อช่วยงานส่วนอื่นที่เกี่ยวข้อง (แต่อาจไม่ได้รับมอบหมายอย่างเห็นทางการ)  แล้วสามารถทำงานที่ได้รับมอบหมายและงานที่เสนอตัวเอง  ได้บรรลุเป้าหมายและวัตถุประสงค์ของงาน
</t>
        </r>
        <r>
          <rPr>
            <b/>
            <sz val="8"/>
            <color indexed="81"/>
            <rFont val="Tahoma"/>
            <family val="2"/>
          </rPr>
          <t>Level 4 (EE): Exceeds expectations</t>
        </r>
        <r>
          <rPr>
            <sz val="8"/>
            <color indexed="81"/>
            <rFont val="Tahoma"/>
            <family val="2"/>
          </rPr>
          <t xml:space="preserve">
เกินจากที่คาดหวังใว้อย่างต่อเนื่อง และส่งผลไปยังงานอื่นๆที่เกี่ยวข้องกับเค้า ให้ออกมาดีไปด้วย เมื่อผู้บริหารตั้งเป้าหมายให้ก็สามารถทำได้เป็นอย่างดี
</t>
        </r>
        <r>
          <rPr>
            <b/>
            <sz val="8"/>
            <color indexed="81"/>
            <rFont val="Tahoma"/>
            <family val="2"/>
          </rPr>
          <t xml:space="preserve">
Level 3 (ME): Meets expectations
</t>
        </r>
        <r>
          <rPr>
            <sz val="8"/>
            <color indexed="81"/>
            <rFont val="Tahoma"/>
            <family val="2"/>
          </rPr>
          <t xml:space="preserve">ทำงานได้ตามที่คาดหวังใว้ ในทุกๆงานที่มอบหมาย 
</t>
        </r>
        <r>
          <rPr>
            <b/>
            <sz val="8"/>
            <color indexed="81"/>
            <rFont val="Tahoma"/>
            <family val="2"/>
          </rPr>
          <t>Level 2 (I): Improvement needed</t>
        </r>
        <r>
          <rPr>
            <sz val="8"/>
            <color indexed="81"/>
            <rFont val="Tahoma"/>
            <family val="2"/>
          </rPr>
          <t xml:space="preserve">
ต่ำกว่าความคาดหวัง ทำงานไม่สำเร็จบ้างในบางครั้ง หัวหน้างานต้องเข้าไปกำกับดูแลเรื่อยๆ  ต้องการการวางแผนพัฒนาบุคลากรอย่างเร่งด่วน
</t>
        </r>
        <r>
          <rPr>
            <b/>
            <sz val="8"/>
            <color indexed="81"/>
            <rFont val="Tahoma"/>
            <family val="2"/>
          </rPr>
          <t xml:space="preserve">
Level 1 (U): Unsatisfactory</t>
        </r>
        <r>
          <rPr>
            <sz val="8"/>
            <color indexed="81"/>
            <rFont val="Tahoma"/>
            <family val="2"/>
          </rPr>
          <t xml:space="preserve">
ไม่พอใจ ทำไม่ได้ตามที่คาดหวัง และ ต้องปรับปรุงอย่างเร่งด่วน</t>
        </r>
      </text>
    </comment>
  </commentList>
</comments>
</file>

<file path=xl/sharedStrings.xml><?xml version="1.0" encoding="utf-8"?>
<sst xmlns="http://schemas.openxmlformats.org/spreadsheetml/2006/main" count="3769" uniqueCount="306">
  <si>
    <t>Entry/Junior</t>
  </si>
  <si>
    <t>Intermediate</t>
  </si>
  <si>
    <t>Senior</t>
  </si>
  <si>
    <t>Lead</t>
  </si>
  <si>
    <t>Senior Staff Specialist</t>
  </si>
  <si>
    <t>Job Duties / Task</t>
  </si>
  <si>
    <t>0-1 year professional
experience. Entry level for
employees with Bachelor's
Degree or equivalent.</t>
  </si>
  <si>
    <t>1-3 years professional
experience.</t>
  </si>
  <si>
    <t>More than 8 years
professional experience.
Management is typically the
next higher level.</t>
  </si>
  <si>
    <t>Job Level</t>
  </si>
  <si>
    <t>SOFTWARE ENGINEER</t>
  </si>
  <si>
    <t>No.</t>
  </si>
  <si>
    <t>Department</t>
  </si>
  <si>
    <t>Name Surname</t>
  </si>
  <si>
    <t>Marketing</t>
  </si>
  <si>
    <t>Nipon Saengtiraphanij</t>
  </si>
  <si>
    <t>Department:</t>
  </si>
  <si>
    <t>Job Function</t>
  </si>
  <si>
    <t>Training Survey</t>
  </si>
  <si>
    <t>Name:</t>
  </si>
  <si>
    <t>Year of work:</t>
  </si>
  <si>
    <t>Position:</t>
  </si>
  <si>
    <t>Score</t>
  </si>
  <si>
    <r>
      <rPr>
        <b/>
        <sz val="10"/>
        <color theme="1"/>
        <rFont val="Arial"/>
        <family val="2"/>
      </rPr>
      <t>Skilled professional:</t>
    </r>
    <r>
      <rPr>
        <sz val="10"/>
        <color theme="1"/>
        <rFont val="Arial"/>
        <family val="2"/>
      </rPr>
      <t xml:space="preserve"> 
ผ่านการทำงานด้านนี้มาเป็นประจำ และสามารถวางแผนงานให้กับทีมงาน ประสานงานกับผู้บริหารในองค์กร ตลอดจนตัดสินใจในเรื่องสำคัญๆเกี่ยวกับงานในด้านนี้ได้อย่างเหมาะสม</t>
    </r>
  </si>
  <si>
    <r>
      <rPr>
        <b/>
        <sz val="10"/>
        <color theme="1"/>
        <rFont val="Arial"/>
        <family val="2"/>
      </rPr>
      <t xml:space="preserve">Knowledgeable: 
</t>
    </r>
    <r>
      <rPr>
        <sz val="10"/>
        <color theme="1"/>
        <rFont val="Arial"/>
        <family val="2"/>
      </rPr>
      <t>มีความรู้และประสบการณ์ในงานด้านนี้ สามารถวางแผนและคิดเทคนิคในการทำงานด้านนี้ได้เอง จัดการงานของตนเองได้โดยไม่ต้องมีหัวหน้างานมากำกับดูแล</t>
    </r>
  </si>
  <si>
    <r>
      <rPr>
        <b/>
        <sz val="10"/>
        <color theme="1"/>
        <rFont val="Arial"/>
        <family val="2"/>
      </rPr>
      <t>Aware:</t>
    </r>
    <r>
      <rPr>
        <sz val="10"/>
        <color theme="1"/>
        <rFont val="Arial"/>
        <family val="2"/>
      </rPr>
      <t xml:space="preserve"> 
พอจะมีความรู้ในงานด้านนี้บ้าง  แต่ยังไม่มีประสบการณ์ หรือเคยทำมาบ้างโดยมีผู้วางแผนงานมาให้ ส่วนใหญ่จะเป็นผู้ลงไปปฏิบัติงาน มากกว่าคิดแผนกลยุทธ์</t>
    </r>
  </si>
  <si>
    <r>
      <rPr>
        <b/>
        <sz val="10"/>
        <color theme="1"/>
        <rFont val="Arial"/>
        <family val="2"/>
      </rPr>
      <t xml:space="preserve">Unaware: 
</t>
    </r>
    <r>
      <rPr>
        <sz val="10"/>
        <color theme="1"/>
        <rFont val="Arial"/>
        <family val="2"/>
      </rPr>
      <t>ไม่มีทักษะหรือความสามารถในด้านนี้ งานที่ทำเป็นการทำตามคำสั่งที่ได้รับอย่างละเอียด</t>
    </r>
  </si>
  <si>
    <t>Skill Type</t>
  </si>
  <si>
    <t>Description</t>
  </si>
  <si>
    <t>3-5 years professional experience. Fully competent professional - the first career level in the ladder (i.e., it is expected that all competent professionals will reach this level).</t>
  </si>
  <si>
    <t>5-8 years professional experience. (Many firms have professional positions above this level; however, First Level Management is typically
the next step.)</t>
  </si>
  <si>
    <t>Soft Skills</t>
  </si>
  <si>
    <t>iOS</t>
  </si>
  <si>
    <t>Android</t>
  </si>
  <si>
    <t>มีความรู้ความเข้าใจในการสร้างโปรเจคโดยใช้ Android Standard UI เช่น การเรียกใช้ Android Widget , การสร้าง Custom Widget, Dialog ,Toast เป็นต้น และสามารถนำความรู้พื้นฐานไปประยุกต์ใข้ Android Standard UI สำหรับ UI ที่ซับซ้อน รวมถึงสามารถอธิบายหลักการทำงานทั่วไปของ Android Standard UI ที่นำมาใช้หรือที่สร้างขึ้นได้</t>
  </si>
  <si>
    <t>มีความรู้ความเข้าใจในการสร้างโปรเจคโดยใช้ Android Standard Library มาประยุกต์ใข้  เช่นการ Create Activity, Create Activity Listener , Integrate with 3rd Party Library, PlayService SDK เป็นต้น รวมทั้งอธิบายหลักการทำงานทั่วไปของ Android Standard Library ที่นำมาใช้หรือที่สร้างขึ้นได้</t>
  </si>
  <si>
    <t>มีความรู้ความเข้าใจในการสร้างโปรเจคโดยใช้ Android 23 Library มาประยุกต์ใข้ เช่นการสร้างโปรเจคด้วย Android 23 Library, การปรับปรุง Android 23 Library ให้ดียิ่งขึ้น เป็นต้น รวมทั้งอธิบายหลักการทำงานทั่วไปของ Android 23 Library  Modules ต่างๆที่นำมาใช้หรือที่สร้างขึ้นได้</t>
  </si>
  <si>
    <t>มีความรู้ความเข้าใจในการสร้างโปรเจคโดยใช้ SPN Framework มาประยุกต์ใข้ เช่นการสร้างโปรเจคด้วย SPN Framework , การปรับปรุง SPN Framework เป็นต้น รวมทั้งอธิบายหลักการทำงานทั่วไปของ SPN Framework Modules ต่างๆที่นำมาใช้หรือที่สร้างขึ้นได้</t>
  </si>
  <si>
    <t>WP</t>
  </si>
  <si>
    <t>PHP</t>
  </si>
  <si>
    <t xml:space="preserve">มีความรู้ ความเข้าใจหลักการ MVC, Route, helper, htaccess, library, language, session, cookie และการ Config ของ PHP และ Codeigniter ได้เป็นอย่างดี </t>
  </si>
  <si>
    <t xml:space="preserve">มีความรู้ ความเข้าใจ ในการใช้ Query เช่น select,update,delete,join,trigger และสามารถนำไปพัฒนาร่วมกับการสร้างเว็บไซต์ร่วมกับภาษา PHP  </t>
  </si>
  <si>
    <t>Server</t>
  </si>
  <si>
    <t>มีความรู้ ความเข้าใจ การทำงานร่วมกันระหว่าง Domain, Hosting ,Server ,DNS ,A Record, CNAME  รวมถึง mod และการ Config ค่าต่างๆของ php,apache,nginx</t>
  </si>
  <si>
    <t>มีความรู้ความเข้าใจในการใช้ Cloud Service เช่น Amazon ,Google , DigitalOcean เพื่อตอบสนองโปรเจคที่มีผู้ใช้จำนวนมาก มีความรู้ในการใช้งาน Cloud Service Interface/API รวมถึงสามารถปรับปรุง กระบวนการการทำงานของ Software และ เลือกใช้ Server Infrastucture หรือ Sofware As A Service(SAAS) ที่เหมาะสมในการนำขึ้น Production ได้</t>
  </si>
  <si>
    <t>JS</t>
  </si>
  <si>
    <t xml:space="preserve">มีความรู้ ความเข้าใจ ในพื้นฐาน function การทำงานต่างๆเช่น การแก้ css ด้วย jquery , ajax และการนำ library มาดัดแปลง แก้ค่า และใช้กับ project ได้อย่างดี ex. slider , animate object ที่ปรับตาม design ที่ออกแบบ </t>
  </si>
  <si>
    <t>Python</t>
  </si>
  <si>
    <t>Python with Django</t>
  </si>
  <si>
    <t>เข้าใจ Reseller structure และสามารถสร้าง Reseller ใหม่ได้
เข้าใจ Config Structure และสามารถสร้าง Feature ใหม่ได้
เข้าใจ Content Structure และสามารถสร้าง Content Structure ใหม่ได้
เข้าใจ Permission Structure และสามารถสร้าง Permission แบบใหม่ได้
เข้าใจ Redemption Structure &amp; Flow</t>
  </si>
  <si>
    <t>Tester</t>
  </si>
  <si>
    <t>Web Robot framework</t>
  </si>
  <si>
    <t>มีความรู้ความเข้าใจในการสร้าง Automate Test ประเภท Web Robot Script เช่นการใช้ Selenium Framework มาประยุกต์ใข้ในกาสร้าง Test Script , การปรับปรุง Test Script เป็นต้น รวมทั้งอธิบายหลักการทำงานทั่วไปของ Test Script ต่างๆที่นำมาใช้หรือที่สร้างขึ้นได้</t>
  </si>
  <si>
    <t>Mobile Robot framework</t>
  </si>
  <si>
    <t>เข้าใจ Robot FrameWork 
เข้าใจ External library : androidlibrary และ สร้าง TestScript ให้รันบนAndroid ได้
เข้าใจ External library : ioslibrary และ สร้าง TestScript ให้รันบน iOS ได้</t>
  </si>
  <si>
    <t>Test Technique</t>
  </si>
  <si>
    <t>มีความรู้ความเข้าใจในการใช้ Test Techniqueในการ Test โปรเจคต่างๆ เช่น การสร้าง Test Script, การเขียน Test Script ให้ครอบคลุม, การบริหารจัดการเวลาในการ เขียนและทำการ Test ในเวลาที่กำหนดได้ เป็นต้น
สามารถ generate Test case จาก Technique ดังต่อไปนี้
- Boundary value analysis
- Equivalence partitioning (EP) 
- Decision tables
- State transition testing
- Use case testing</t>
  </si>
  <si>
    <t>System Analysis</t>
  </si>
  <si>
    <t>System Analyze</t>
  </si>
  <si>
    <t>สามารถ วิเคราะห์ ประเมิน แผนงาน,ระยะเวลา,ความเสี่ยง รวมถึงวิธีการแก้ไข การทำงานของทั้งโครงการ ได้ใกล้เคียงกับความเป็นจริง ก่อนเริ่มโครงการจริง (Pre-Sale)</t>
  </si>
  <si>
    <t>Project Planning &amp; Management</t>
  </si>
  <si>
    <t>สามารถวางแผนการทำงานให้สอดคล้องกับทรัพยากรบุคคลที่ได้รับ โดยดูจาก Man hour ที่ต้องใช้ รวมถึง Tracking ให้งานเป็นไปตามแผนได้</t>
  </si>
  <si>
    <t>Contact Customer</t>
  </si>
  <si>
    <t xml:space="preserve">สามารถ ติดต่อ สื่อสาร ประสานงานกับ ลูกค้า ในด้าน Technical และ ทำงานร่วมกับทีม Sale ได้ </t>
  </si>
  <si>
    <t>Coaching</t>
  </si>
  <si>
    <t>มีความสามารถในการถ่ายทอดความรู้ และประสบการณ์ของตนเองให้แก่ผู้อื่นได้อย่างดี</t>
  </si>
  <si>
    <t>Research</t>
  </si>
  <si>
    <t>สามารถศึกษาและค้นคว้าความรู้ใหม่ๆ เพื่อใช้ในการทำงาน หรือ Technology ใหม่ๆ ที่สอดคล้องกับนโยบายของบริษัท รวมถึงสามารถถ่ายทอดสิ่งที่ศึกษามาให้ผู้อื่นได้รับทราบด้วย (บุกป่า)</t>
  </si>
  <si>
    <t>Leader</t>
  </si>
  <si>
    <t>มีความสามารถในการเป็นผู้นำทีม สร้างทีมให้แข็งแกร่ง และให้คนในทีมเห็นเป้าหมายเดียวกันได้</t>
  </si>
  <si>
    <t>Engineering</t>
  </si>
  <si>
    <t>Technical Skills</t>
  </si>
  <si>
    <t>ระบุงานหรือหน้าที่หลักที่รับผิดชอบเป็นประจำ</t>
  </si>
  <si>
    <t>รู้สึกว่าตนเองมีทักษะในการทำงานตามด้านบนในระดับใด</t>
  </si>
  <si>
    <t>Ö</t>
  </si>
  <si>
    <t>X</t>
  </si>
  <si>
    <t>รู้สึกว่ามีความรู้เพียงพอกับงานในปัจจุบันนี้ ยังสามารถจัดการกับงานได้ดี ไม่ค่อยต้องค้นหาข้อมูล หรือถามผู้อื่นมากนัก</t>
  </si>
  <si>
    <t xml:space="preserve">ถ้าได้อบรมจะทำงานได้ดีกว่านี้  ทำงานยังมีปัญหาหรือข้อสงสัยอยู่บ้าง
</t>
  </si>
  <si>
    <t>รู้สึกมั่นใจในงานที่ตนเองทำ สามารถช่วยเหลือผู้อื่นในงานเดียวกัน ตลอดจนสอนงานนั้นๆได้</t>
  </si>
  <si>
    <t>เลือกข้อใดข้อหนึ่ง เท่านั้น การเลือกไม่มีผลกับการประเมิน Performance ของการทำงานใดๆ</t>
  </si>
  <si>
    <t xml:space="preserve">ไม่ค่อยมีทักษะ ต้องการการอบรม หรือเข้าไปสอนงานโดยด่วน การทำงานทำได้ค่อนข้างช้า เนื่องจากต้องค้นหาข้อมูลตลอดเวลา
</t>
  </si>
  <si>
    <t>งานที่ทำมีความสำคัญและสัมพันธ์กับตำแหน่งงานนั้นๆหรือไม่</t>
  </si>
  <si>
    <t>งานนั้นมีความสัมพันธ์ และสอดคล้องกับตำแหน่งงงาน</t>
  </si>
  <si>
    <t>ไม่ค่อยสัมพันธ์กับตำแหน่งงาน</t>
  </si>
  <si>
    <t>เป็นงานที่มีความสำคัญมากๆ รวมถึงเป็นหน้าที่หลักในตำแหน่งงานที่ตนเองทำ</t>
  </si>
  <si>
    <t xml:space="preserve">บางงานก็สัมพันธ์กับตำแหน่งงาน บางงานก็ไม่ 
</t>
  </si>
  <si>
    <t>แบบประเมินตนเอง (อ่าน ทำความเข้าใจ และประเมินตนเองตามเกณฑ์ด้านข้าง)</t>
  </si>
  <si>
    <t>กรุณาระบุโครงการอบรมที่เกี่ยวข้องกับงานในปัจจุบัน  ที่ท่านเคยเข้ารับอบรมมาก่อน</t>
  </si>
  <si>
    <t>Scoring Table: เกณฑ์การประเมิน</t>
  </si>
  <si>
    <t>Complete by Line Manager</t>
  </si>
  <si>
    <t>แผนเชิงกลยุทธ์ในการพัฒนาบุคลากร</t>
  </si>
  <si>
    <t>ความคาดหวังต่อบุคลากรในปีนี้</t>
  </si>
  <si>
    <t>Remark</t>
  </si>
  <si>
    <t>Date:</t>
  </si>
  <si>
    <t>Year:</t>
  </si>
  <si>
    <t>กรุณาระบุโครงการอบรมหรือทักษะที่ท่านต้องการอบรมเพิ่มเติม</t>
  </si>
  <si>
    <t>ระบุงาน เช่น ติดต่อประสานงานลูกค้า , จัดทำรายงานเพื่อนำเสนอผู้บริหาร , คิดกิจกรรมการตลาด</t>
  </si>
  <si>
    <r>
      <rPr>
        <b/>
        <sz val="10"/>
        <color theme="1"/>
        <rFont val="Arial"/>
        <family val="2"/>
      </rPr>
      <t>An expert:</t>
    </r>
    <r>
      <rPr>
        <sz val="10"/>
        <color theme="1"/>
        <rFont val="Arial"/>
        <family val="2"/>
      </rPr>
      <t xml:space="preserve"> 
มีทักษะและประสบการณ์ในงานด้านนี้ในระดับสูง ความรู้ที่มีอยู่ในระดับที่สามารถจัดการสอนงานในด้านนี้ให้แก่บุคลากรในองค์กร เป็นที่ปรึกษาเฉพาะทางในงานนั้นๆ  รวมถึงพัฒนารูปแบบการทำงาน ตลอดจนกำหนดเกณฑ์ในการวัดผลสำหรับงานนั้นๆได้</t>
    </r>
  </si>
  <si>
    <t xml:space="preserve">มีความเข้าใจและสามารถพัฒนา application บน iOS device โดยใช้ UIKit ซึ่งประกอบไปด้วย UIViewController,  Xib, UITableView, UINavigationController, UITabbarController รวมถึง Basic Collection Controller อย่าง UITabbleViewController
มีความเข้าใจเรื่อง UIView ต่างๆเช่น UIView, UILabel, UIImageView, UITextField, UITextView, AutoLayout เป็นต้น </t>
  </si>
  <si>
    <t>มีความเข้าใจและสามารถพัฒนา application บน iOS device โดยใช้ Persistance Data ได้แก่ SQlite, Core Data, NSPredicate, วิธีการ Migrate Data, Schema</t>
  </si>
  <si>
    <t>มีความเข้าใจและสามารถพัฒนา application บน iOS โดยการ Call Network API รวมถึง มีความเข้าใจเรื่อง synchronous, asynchronous, NSThread , NSURLRequest, Concept Queue(LIFO,FIFO), NSNotification Center</t>
  </si>
  <si>
    <t>มีความเข้าใจและสามารถพัฒนา shoppening based application บน iOS มีความเข้าใจ Config, Content และ Analytic มีความสามารถในการ Custom แอพหน้า menu และ แปลง Feature ที่มีอยู่ให้เป็น Feature เฉพาะของ App นั้นๆได้</t>
  </si>
  <si>
    <t>สามารถสร้าง Django Web App ใหม่ขึ้นมาซึ่งประกอบไปด้วย model views urls template ที่ติดต่อกับ MySQL 
สามารถและเข้าใจ Migrate models หลังจากที่แก้ Models ไปแล้ว
เข้าใจและรู้จัก คำว่า ORM
เข้าใจ Thread
รู้จัก LIB ที่สำคัญ json requests urllib2
เข้าใจ django.conf.settings
เข้าใจ django middleware
เข้าใจ django.models และการ define unique, index เดี่ยวและ มากกว่า 1 
เข้าใจวิธีการ Loging ของ Django และ setting</t>
  </si>
  <si>
    <t>มีความเข้าใจและสามารถพัฒนา application บน Window platform ทั่วไป ซึ่งมีความรู้ด้าน Concept XAML เข้าใจ Layout,Theme,app bar,image
เข้าใจ Control แบบต่างๆ เช่น (Navigation controls , Layout and grouping controls
Text controls, Progress and message controls)
เข้าใจ Data Binding
เข้าใจ Event Handling
เข้าใจ Concept Model-View-ViewModel</t>
  </si>
  <si>
    <t>มีความเข้าใจและสามารถพัฒนา application บน Window platform แบบต้องเก็บ Persistance Data ซึ่งมีเข้าเข้าใจ DataContext IsolatedStorageSettings IsolatedStorageSettings StorageFile and StorageFolder  LocalFolder 
เข้าใจ  System.Uri  Windows.Web.Syndication</t>
  </si>
  <si>
    <t>มีความเข้าใจและสามารถพัฒนา application บน Window platform ทั่วไป ซึ่งมีความรู้ด้าน Concept XAML เข้าใจ Layout,Theme,app bar,image
เข้าใจ Control แบบต่างๆ เช่น (Navigation controls , Layout and grouping controls, Text controls, Progress and message controls)
เข้าใจ Data Binding, เข้าใจ Event Handling, เข้าใจ Concept Model-View-ViewModel</t>
  </si>
  <si>
    <t>iOS: UIKit (Native)</t>
  </si>
  <si>
    <t>iOS: Data (Sqlite,Core Data)</t>
  </si>
  <si>
    <t>iOS: Network</t>
  </si>
  <si>
    <t>iOS: SPN framework</t>
  </si>
  <si>
    <t>Android: UI (Native)</t>
  </si>
  <si>
    <t>Android: Standard Library</t>
  </si>
  <si>
    <t>Android: 23 Library</t>
  </si>
  <si>
    <t>Android: SPN framework</t>
  </si>
  <si>
    <t>WP: Native UI</t>
  </si>
  <si>
    <t>WP: Persistant Data &amp; Network</t>
  </si>
  <si>
    <t>PHP: PHP With Codeigniter</t>
  </si>
  <si>
    <t>PHP: Mysql</t>
  </si>
  <si>
    <t>Server: Domain, Hosting, Basic Server</t>
  </si>
  <si>
    <t xml:space="preserve">Server: Cloud &amp; Scaling </t>
  </si>
  <si>
    <t>JS: Javascript with Jquery</t>
  </si>
  <si>
    <t>Python: SPN framework</t>
  </si>
  <si>
    <t>Date Revised:</t>
  </si>
  <si>
    <t>มีความรู้ความเข้าใจในการสร้างโปรเจคโดยใช้ SPN Framework มาประยุกต์ใช้ในการพัฒนา Android เช่นการสร้างโปรเจคด้วย SPN Framework , การปรับปรุง SPN Framework เป็นต้น รวมทั้งอธิบายหลักการทำงานทั่วไปของ SPN Framework Modules ต่างๆที่นำมาใช้หรือที่สร้างขึ้นได้</t>
  </si>
  <si>
    <t>HR Profile</t>
  </si>
  <si>
    <t>Year of work</t>
  </si>
  <si>
    <t>Employeed Date</t>
  </si>
  <si>
    <t>Tool</t>
  </si>
  <si>
    <t>Personal HR Plan</t>
  </si>
  <si>
    <t>Member ID :</t>
  </si>
  <si>
    <t>Employeed Date:</t>
  </si>
  <si>
    <t>เป้าหมายหรือความคาดหวังในด้านการทำงานในอนาคต</t>
  </si>
  <si>
    <t>โครงการอบรมที่ต้องการเข้าร่วม</t>
  </si>
  <si>
    <t xml:space="preserve">เป้าหมายในเชิงทักษะหรือความสามารถ </t>
  </si>
  <si>
    <t>Personal Needs : ความต้องการพัฒนาส่วนบุคคล</t>
  </si>
  <si>
    <t>Review &amp; Comment</t>
  </si>
  <si>
    <t>2015 Score</t>
  </si>
  <si>
    <t>self assessment score verified by Line Manager</t>
  </si>
  <si>
    <t>Education</t>
  </si>
  <si>
    <t xml:space="preserve">Background </t>
  </si>
  <si>
    <t>Skill Gap</t>
  </si>
  <si>
    <t>How different skill score compare with Baseline</t>
  </si>
  <si>
    <t>Skill Target Score in 2016</t>
  </si>
  <si>
    <t>2016 Goal</t>
  </si>
  <si>
    <t>Summary</t>
  </si>
  <si>
    <t>Urgent developing skill</t>
  </si>
  <si>
    <t xml:space="preserve">    </t>
  </si>
  <si>
    <t>-</t>
  </si>
  <si>
    <t>Position</t>
  </si>
  <si>
    <t>Performance Evaluation</t>
  </si>
  <si>
    <t>Productivity</t>
  </si>
  <si>
    <t>Quality</t>
  </si>
  <si>
    <t>Relationships</t>
  </si>
  <si>
    <t>Adaptability/Resourcefulness</t>
  </si>
  <si>
    <t>Attendance/Punctuality</t>
  </si>
  <si>
    <t>Supervisory Skills</t>
  </si>
  <si>
    <t>Average Score:</t>
  </si>
  <si>
    <t>Year 2015</t>
  </si>
  <si>
    <t>Year 2016</t>
  </si>
  <si>
    <t>Year 2017</t>
  </si>
  <si>
    <t>Comment 2015</t>
  </si>
  <si>
    <t>Comment 2016</t>
  </si>
  <si>
    <t>Comment 2017</t>
  </si>
  <si>
    <t>Needs Development  --------------------------&gt; Extraordinary Strength</t>
  </si>
  <si>
    <t>Performance Rating Scale:</t>
  </si>
  <si>
    <t>1 (Unsatisfactory) -  2 (Improvement needed) - 3 (Meets) - 4 (Exceeds) - 5 ( Exceptional)</t>
  </si>
  <si>
    <t>Strength, Weakness</t>
  </si>
  <si>
    <t>มีทักษะความรู้ในการทำงานที่ได้รับมอบหมาย และสามารถทำงานที่ได้รับมอบหมายให้สำเร็จลุล่วงได้ด้วยตนเอง</t>
  </si>
  <si>
    <t>สามารถสร้างงานที่มีคุณภาพ มีความถูกต้อง สอดคล้องกับความต้องการและใกล้เคียงกับมาตรฐานในงานประเภทเดียวกันของบริษัท</t>
  </si>
  <si>
    <t>ความสม่ำเสมอในการเข้างาน การลางานอย่างมีเหตุมีผล และลาเท่าที่จำเป็น ทำให้สามารถปฏิบัติหน้าที่ได้โดยไม่เป็นปัญหาแก่ผู้ร่วมงานคนอื่นๆ</t>
  </si>
  <si>
    <t>Responsibilities</t>
  </si>
  <si>
    <t>ความสามารถในการควบคุมดูแลทีมงาน และสามารถทำให้ผู้อื่นปฏิบัติงานให้แก่ตนเองได้อย่างเหมาะสมและจัดการกับความขัดแย้งได้ดี</t>
  </si>
  <si>
    <t>มีความสามารถในการสร้างและรักษาความสัมพันธ์อันดีต่อผู้อื่นในองค์กร และสามารถทำงานร่วมทีมได้อย่างมีประสิทธิภาพตามตำแหน่งงานของตน</t>
  </si>
  <si>
    <t>สามารถปรับตัวให้เข้ากับการเปลี่ยนแปลง แก้ไขปัญหาเฉพาะหน้าได้ดี  เสนอแนะทางออกที่มีประโยชน์และสร้างสรรค์ที่สามารถนำไปใช้ได้จริง</t>
  </si>
  <si>
    <t>ความรับผิดชอบต่องานและหน้าที่ที่ได้รับมอบหมายไม่ทำให้หัวหน้างานกังวล หรือไม่ใว้ใจ</t>
  </si>
  <si>
    <t>Job Knowledge</t>
  </si>
  <si>
    <t>บริหารจัดการเวลาในการทำงาน เพื่อให้ส่งมอบงานตามที่ได้รับให้ทันกำหนดเวลา และเนื้องานที่ได้ได้รับการยอมรับ</t>
  </si>
  <si>
    <t>AVERAGE SCORE:</t>
  </si>
  <si>
    <t>SOFTWARE ENGINEER MEMBER</t>
  </si>
  <si>
    <t>Engineer</t>
  </si>
  <si>
    <t>Document Change History</t>
  </si>
  <si>
    <t>Document Change History:</t>
  </si>
  <si>
    <t>Date</t>
  </si>
  <si>
    <t>Prepared By</t>
  </si>
  <si>
    <t>Detail</t>
  </si>
  <si>
    <t>PTP_ENG-1</t>
  </si>
  <si>
    <t>PTP_ENG-2</t>
  </si>
  <si>
    <t>PTP_ENG-3</t>
  </si>
  <si>
    <t>PTP_ENG-4</t>
  </si>
  <si>
    <t>PTP_ENG-5</t>
  </si>
  <si>
    <t>PTP_ENG-6</t>
  </si>
  <si>
    <t>PTP_ENG-7</t>
  </si>
  <si>
    <t>PTP_ENG-8</t>
  </si>
  <si>
    <t>PTP_ENG-9</t>
  </si>
  <si>
    <t>PTP_ENG-10</t>
  </si>
  <si>
    <t>PTP_ENG-11</t>
  </si>
  <si>
    <t>PTP_ENG-12</t>
  </si>
  <si>
    <t>PTP_ENG-13</t>
  </si>
  <si>
    <t>PTP_ENG-14</t>
  </si>
  <si>
    <t>PTP_ENG-15</t>
  </si>
  <si>
    <t>PTP_ENG-16</t>
  </si>
  <si>
    <t>PTP_ENG-17</t>
  </si>
  <si>
    <t>PTP_ENG-18</t>
  </si>
  <si>
    <t>PTP_ENG-19</t>
  </si>
  <si>
    <t>PTP_ENG-20</t>
  </si>
  <si>
    <t>PTP_ENG-21</t>
  </si>
  <si>
    <t>PTP_ENG-22</t>
  </si>
  <si>
    <t>PTP_ENG-23</t>
  </si>
  <si>
    <t>Siphong Tanavongchinda</t>
  </si>
  <si>
    <t>Ladda Udomsiripinij</t>
  </si>
  <si>
    <t>Wisit Inthima</t>
  </si>
  <si>
    <t>Tuanrit Sahapaet</t>
  </si>
  <si>
    <t>Kornthip Nakchamratsri</t>
  </si>
  <si>
    <t>Ekachai Limpisoot</t>
  </si>
  <si>
    <t>Pasit Nusso</t>
  </si>
  <si>
    <t>Nutdanai Tippanontakul</t>
  </si>
  <si>
    <t>Pirunrung Saeaui</t>
  </si>
  <si>
    <t>Chatuporn Kleebkaew</t>
  </si>
  <si>
    <t>Chomchanok Tangmahasuk</t>
  </si>
  <si>
    <t>Pathompong Kongprajug</t>
  </si>
  <si>
    <t>Vorapong Paiboonplayoi</t>
  </si>
  <si>
    <t>Aphinun Wanatanareeyachart</t>
  </si>
  <si>
    <t>Wasin Petcharat</t>
  </si>
  <si>
    <t>Woranop Phongnopkun</t>
  </si>
  <si>
    <t>Kittitoch Phuekphaiphatmat</t>
  </si>
  <si>
    <t>Pattadon Adhipanyasarij</t>
  </si>
  <si>
    <t>Apinya Tangtermphol</t>
  </si>
  <si>
    <t>Nuttha Sirisoda</t>
  </si>
  <si>
    <t>Rattaporn Thongmeesuk</t>
  </si>
  <si>
    <t>Watchareeporn Treedach</t>
  </si>
  <si>
    <t>Chavalit Deeudomwongsa</t>
  </si>
  <si>
    <t>Python Developer</t>
  </si>
  <si>
    <t>เขียน Code สำหรับ iOS Platform , เขียน PHP สำหรับ Website , ดูแลและให้คำแนะนำในการใช้ Core project</t>
  </si>
  <si>
    <t>4 ปี  1 เดือน</t>
  </si>
  <si>
    <t>อบรม Shoppening, การเขียนภาษา Swift</t>
  </si>
  <si>
    <t>Software Engineer</t>
  </si>
  <si>
    <t>20/5/2015</t>
  </si>
  <si>
    <t>อายุงาน IOS จริงๆ น่าจะประมาณปีกว่าๆ</t>
  </si>
  <si>
    <t>ต้องมีความรู้พื้นฐานที่ดี</t>
  </si>
  <si>
    <t>สามารถประเมิน Timeline ได้อย่างเหมาะสม ความเสี่ยงต่างๆ</t>
  </si>
  <si>
    <t>คาดหวังให้พบลูกค้ามากขึ้น</t>
  </si>
  <si>
    <t>ต้องทำได้</t>
  </si>
  <si>
    <t>เผื่อคุม Project</t>
  </si>
  <si>
    <t>Python 2, PHP 3</t>
  </si>
  <si>
    <t>1 ปี 9 เดือน</t>
  </si>
  <si>
    <t>Mobile Developer</t>
  </si>
  <si>
    <t>21/5/2015</t>
  </si>
  <si>
    <t>การออกแบบการใช้งาน AutoLayout บนระบบ iOS (Advance) // Python เบื้องต้น - ขั้นกลาง</t>
  </si>
  <si>
    <t>- Universal App for Windows 10
- Network, Server, Host-Domain, Scaling Website
- Responsive Design
- Advance VBA and Marco for Excel
** 3 ข้อแรก กำลังพยายามเรียนรู้ด้วยตัวเองอยู่ แต่ก็คิดว่า ถ้ามี class ให้เข้าไปเรียน น่าจะลดเวลาในการเรียนรู้สิ่งเหล่านี้ได้ดี และมีหลักในการเรียนรู้ด้วยตัวเองต่อไป (ก่อนไปเรียน ก็จะต้องปรับพื้นฐานตัวเองพอสมควร เพื่อเวลาไปเรียน จะได้ทันในสิ่งที่ผู้สอนนำเสนอครับ)
** ข้อสุดท้ายนี่คือ อยากรู้ในขั้นลึกว่ามันสามารถทำได้มากกว่าที่รู้อยู่ตอนนี้ขนาดไหน เผื่อนำควมรู้มาปรับ performance ของ CAESAR Template ที่ให้องค์กรใช้งานอยู่ (ในกรณีที่ยังไม่ได้พัฒนาสู่ Website) และเผื่อเป็นประโยชน์ในอนาคตครับ</t>
  </si>
  <si>
    <t>- Nokia Developer Days Workshop (Windows Phone) [1-2 October 2012]
- BlackBerry Jam Asia [29-30 November 2012]</t>
  </si>
  <si>
    <t>2 ปี 8 เดือน</t>
  </si>
  <si>
    <t>Quality Assurance Excellence’s Project (Software Park)</t>
  </si>
  <si>
    <t>From University - Software Verification and Validation Course
From University - Software Quality Assurance Course</t>
  </si>
  <si>
    <t>ทำแผนการทดสอบsoftware, ออกแบบการทดสอบsoftware, ทดสอบระบบของsoftware, ทดสอบการทำงานของsoftware</t>
  </si>
  <si>
    <t>Software Quality Assurance Engineer</t>
  </si>
  <si>
    <t>Front-end development  : CSS ,HTML ,UX/UI
Android Development (focus on Designing Structure Application,Optimized Performance)
Personality Course
ยุทธศาสตร์การทำงานด้วยจิตว่าง</t>
  </si>
  <si>
    <t>Android Developer</t>
  </si>
  <si>
    <t>พัฒนา Application บน iOS และ Android</t>
  </si>
  <si>
    <t>The Swift Programming Language(ต่อยอดความรู้นำไปเพื่อรองรับการพัฒนาสิ่งใหม่ๆ เช่น Apple watch)
unit Test Implement  (เขียนเป็นแต่ Basic ยังไม่เคยนำไปใช้จริงจัง)</t>
  </si>
  <si>
    <t>1. ภาษาอังกฤษ (พูด เขียน) , English for Business Communication
2. Security ในการเขียน Code
3. เข้าใจการทำ ความสามารถ และข้อจำกัดของ SPN
4. มีความรู้ iOS และ Android ให้มากกว่านี้
5. วิธีบริหารและพัฒนาทรัพยากรบุคคลอย่างถูกต้อง</t>
  </si>
  <si>
    <t>1. Business Analysis Program #39 - CU
2. Mini MBA #78 - TU
3. Introduction to CMMI for Development v1.3
4. Acceptance -Test Driven Development with Robot Framework - SPRINT3R</t>
  </si>
  <si>
    <t>1. Resource Planing &amp; ดูแลคนในแผนกด้านวินัยและตาม timeline คนในแผนก
2. Reserch ประเมิณชั่วโมงการทำงานเพื่อทำราคา Pre-sale  รวมถึงการไปประชุม Research ข้อมูลและให้คำปรึกษากับ Sale
3. Coding
4. ติดต่อประสานงานลูกค้าในเชิงเทคนิค
5. ประชุมกับผู้บริหาร แก้ปัญหา ร่วมวางแนวทางการพัฒนาและการดำเนินงานของบริษัท</t>
  </si>
  <si>
    <t>5 ปี 6 เดือน</t>
  </si>
  <si>
    <t>เคยทำ IT Support ระบบ SAP ของ สวทช 3 เดือน</t>
  </si>
  <si>
    <t>20/05/2015</t>
  </si>
  <si>
    <t>Development Manager</t>
  </si>
  <si>
    <t>สนใจพัฒนาแอปมือถือ</t>
  </si>
  <si>
    <t>1) พัฒนาเว็บ PHP
2) Shoppening</t>
  </si>
  <si>
    <t>3 ปี 8 เดือน</t>
  </si>
  <si>
    <t>เคยทำงานมาแล้ว 3 ปี</t>
  </si>
  <si>
    <t>Senior Engineer</t>
  </si>
  <si>
    <t>ไปเรียนคอส ฝึกพูดในที่ชุมชน
ไปเรียนคอส ทำพวก Functional Design Technical Design Document 
ไปเรียนคอส พวกเกี่ยวกับ Big Data และ Analytic
ไปเรียนคอส พวกเกี่ยวกับ Scale Server และ Map Reduce
ไปเรียนคอส พวกเกี่ยวกับ Advance Search เช่น Elastic Search, lucene</t>
  </si>
  <si>
    <t>ไปเรียนคอส TDD กับ Somkiat
ไปเรียนคอส Continuous Integration กับ Somkiat</t>
  </si>
  <si>
    <t>เขียน Shoppening และ ปรึกษาเรื่อง Project Solution</t>
  </si>
  <si>
    <t>23 4 ปี(django 2,iOS Nokia XNA PHP 2), iOS 2 ปี, Java 2ปี</t>
  </si>
  <si>
    <t>Project Manager</t>
  </si>
  <si>
    <t>Web Developer ประจำของ Shoppening</t>
  </si>
  <si>
    <t>1. การ setup config, api ของ Shoppening</t>
  </si>
  <si>
    <t>1. วิธีการ Test Web แบบต่างๆ
2. Shoppening ฝั่ง Mobile</t>
  </si>
  <si>
    <t xml:space="preserve">ต้องการอบรมเกี่ยวกับการพัฒนา Mobile Application ให้ Performance ออกมาดีที่สุด (ทั้ง Android และ iOS)
ต้องการอบรมเกี่ยวกับเทคโนโลยีใหม่ๆหรือสิ่งที่ช่วยในการพัฒนา Application ให้ง่ายขึ้น ไม่ว่าจะเป็น Library ตัวใหม่ๆ ฟิเจอร์ใหม่ๆของ os 
ในอนาคตที่จะมาช่วยพัฒนา Application </t>
  </si>
  <si>
    <t>2ปี10เดือน</t>
  </si>
  <si>
    <t>Web developer</t>
  </si>
  <si>
    <t>ไม่ค่อยมีทักษะ ต้องการการอบรม หรือเข้าไปสอนงานโดยด่วน การทำงานทำได้ค่อนข้างช้า เนื่องจากต้องค้นหาข้อมูลตลอดเวลา -- shoppening parser , shoppenning developer</t>
  </si>
  <si>
    <t>6 ปี 5 เดือน</t>
  </si>
  <si>
    <t>CTO</t>
  </si>
  <si>
    <t>1. ดูแลการดำเนินงานและบุคคลในทีมโปรเจคที่รับผิดชอบ
2. ดูแลระบบ Infra ในบริษัท (Server , Internet)</t>
  </si>
  <si>
    <t>1. Cloud &amp; Scale Service Knowledge
2. Security Knowledge</t>
  </si>
  <si>
    <t>TDD (Test Driven Development) Training</t>
  </si>
  <si>
    <t xml:space="preserve">4 ปี 1 เดือน </t>
  </si>
  <si>
    <t xml:space="preserve">Software Engineer </t>
  </si>
  <si>
    <t xml:space="preserve">พัฒนาและแก้ไขชุดคำสั่ง (source code) ตามที่ได้รับมอบหมาย ให้เป็นไปตามที่ได้ออกแบบไว้ ตลอดจนดูแล และตรวจสอบ จนจบระยะเวลาของโครงการนั้นๆ </t>
  </si>
  <si>
    <t xml:space="preserve">อยากมีความรู้เรื่อง css3 html5 เพิ่มเติม เนืองจากในการพัฒนาเวปไซด์ จะต้องใช้ css เข้ามาเกี่ยวข้องในการทำงาน ไม่ว่าจะเป็นการทำ slide หรือ กำหนดรูปแบบการนำเสนอเนื้อหา เพื่อที่จะสื่อ data ออกสู่ผู้ใช้งาน การออกแบบ ux ui ให้เข้าใจง่าย และเพิ่มลูกเล่นให้กับเวปไซด์จึงเป็นสิ่งสำคัญ ถ้าได้เรียนรู้เรื่องเทคโนโลยีแบบใหม่เรื่อง html ที่ออกมาใหม่ อะไรที่ยังใช้ และ ใช้ตัวไหนจะดีที่สุด จะแก้ไขส่วนนี้  ลด script  แล้วมาใช้ css3 แทน จะทำให้ ภาพรวมทำงานเร็วขึ้นดีขึ้นหรือไม่ อย่างไร อันนี้ต้องหาความรู้เพิ่มเติม </t>
  </si>
  <si>
    <t>Basic - Advance (Include Responsive) Design HTML CSS, Basic ios Develop , Advance Front-End &amp; Back - End</t>
  </si>
  <si>
    <t>Amazon WorkShop</t>
  </si>
  <si>
    <t>การบริหารจัดการเทคโนโลยีสารสนเทศ (Management information system), 
วงจรของการพัฒนาซอฟต์แวร์ (Software Development Life Cycle),
การตลาด (Marketing)</t>
  </si>
  <si>
    <t>1y 10m</t>
  </si>
  <si>
    <t>shoppening, Auto layout</t>
  </si>
  <si>
    <t>iOS Developer</t>
  </si>
  <si>
    <t>9เดือน21วัน</t>
  </si>
  <si>
    <t>21/05/2015</t>
  </si>
  <si>
    <t>- IOS ครับ</t>
  </si>
  <si>
    <t>- Nokia sysbian Workshop
- Windows Phone 7 Workshop
- อบรม เทคนิคการพูด ของ พี่พจน์
- Digital Marketing ของ อ.วิเลิศ</t>
  </si>
  <si>
    <t>- พัฒนา ซอฟต์แวร์ ( Website, Android, WindowsPhone, Nokia)
- ให้คำปรึกษา ด้านเทคนิค Marketing
- คุมทีม โปรเจ็กเว็บไซด์ (7Greens)
- ไปประชุมกับลูกค้าบ้าง บาง Project</t>
  </si>
  <si>
    <t>4ปี 9 เดือน</t>
  </si>
  <si>
    <t>Augular JS</t>
  </si>
  <si>
    <t>Web Engineer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</si>
</sst>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m\-yy;@"/>
  </numFmts>
  <fonts count="66" x14ac:knownFonts="1">
    <font>
      <sz val="11"/>
      <color theme="1"/>
      <name val="Calibri"/>
      <family val="2"/>
      <scheme val="minor"/>
    </font>
    <font>
      <sz val="16"/>
      <color theme="3"/>
      <name val="Calibri"/>
      <family val="2"/>
      <scheme val="minor"/>
    </font>
    <font>
      <b/>
      <sz val="11"/>
      <color theme="0"/>
      <name val="Arial"/>
      <family val="2"/>
    </font>
    <font>
      <b/>
      <sz val="14"/>
      <color indexed="44"/>
      <name val="Verdana"/>
      <family val="2"/>
    </font>
    <font>
      <b/>
      <sz val="14"/>
      <color indexed="16"/>
      <name val="Verdana"/>
      <family val="2"/>
    </font>
    <font>
      <b/>
      <sz val="8"/>
      <color indexed="61"/>
      <name val="Verdana"/>
      <family val="2"/>
    </font>
    <font>
      <sz val="9"/>
      <name val="Arial"/>
      <family val="2"/>
    </font>
    <font>
      <b/>
      <sz val="28"/>
      <color theme="1"/>
      <name val="Arial"/>
      <family val="2"/>
    </font>
    <font>
      <b/>
      <sz val="28"/>
      <color theme="1"/>
      <name val="Calibri"/>
      <family val="2"/>
      <scheme val="minor"/>
    </font>
    <font>
      <sz val="10"/>
      <name val="Arial"/>
      <family val="2"/>
    </font>
    <font>
      <sz val="11"/>
      <color theme="1"/>
      <name val="Arial"/>
      <family val="2"/>
    </font>
    <font>
      <b/>
      <sz val="14"/>
      <color indexed="44"/>
      <name val="Arial"/>
      <family val="2"/>
    </font>
    <font>
      <b/>
      <sz val="14"/>
      <color indexed="16"/>
      <name val="Arial"/>
      <family val="2"/>
    </font>
    <font>
      <b/>
      <sz val="8"/>
      <color indexed="61"/>
      <name val="Arial"/>
      <family val="2"/>
    </font>
    <font>
      <sz val="10"/>
      <color theme="1"/>
      <name val="Arial"/>
      <family val="2"/>
    </font>
    <font>
      <sz val="11"/>
      <name val="Arial"/>
      <family val="2"/>
    </font>
    <font>
      <sz val="11"/>
      <color theme="0"/>
      <name val="Arial"/>
      <family val="2"/>
    </font>
    <font>
      <sz val="9"/>
      <color theme="1"/>
      <name val="Arial"/>
      <family val="2"/>
    </font>
    <font>
      <sz val="14"/>
      <color theme="1"/>
      <name val="Arial"/>
      <family val="2"/>
    </font>
    <font>
      <b/>
      <sz val="10"/>
      <color theme="1"/>
      <name val="Arial"/>
      <family val="2"/>
    </font>
    <font>
      <b/>
      <sz val="18"/>
      <color theme="5"/>
      <name val="Calibri"/>
      <family val="2"/>
      <scheme val="minor"/>
    </font>
    <font>
      <sz val="11"/>
      <color rgb="FF000000"/>
      <name val="Calibri"/>
      <family val="2"/>
    </font>
    <font>
      <b/>
      <sz val="18"/>
      <color rgb="FFFFFFFF"/>
      <name val="Calibri"/>
      <family val="2"/>
    </font>
    <font>
      <b/>
      <sz val="16"/>
      <color rgb="FFFFFFFF"/>
      <name val="Calibri"/>
      <family val="2"/>
    </font>
    <font>
      <sz val="9"/>
      <color rgb="FFFFFFFF"/>
      <name val="Calibri"/>
      <family val="2"/>
    </font>
    <font>
      <sz val="11"/>
      <name val="Calibri"/>
      <family val="2"/>
    </font>
    <font>
      <sz val="16"/>
      <color rgb="FF1F497D"/>
      <name val="Calibri"/>
      <family val="2"/>
    </font>
    <font>
      <sz val="10"/>
      <name val="Calibri"/>
      <family val="2"/>
      <scheme val="minor"/>
    </font>
    <font>
      <sz val="10"/>
      <color rgb="FF1F497D"/>
      <name val="Calibri"/>
      <family val="2"/>
      <scheme val="minor"/>
    </font>
    <font>
      <b/>
      <sz val="11"/>
      <color theme="0"/>
      <name val="Calibri"/>
      <family val="2"/>
      <scheme val="minor"/>
    </font>
    <font>
      <b/>
      <sz val="12"/>
      <color theme="1"/>
      <name val="Arial"/>
      <family val="2"/>
    </font>
    <font>
      <b/>
      <sz val="12"/>
      <color theme="1"/>
      <name val="Symbol"/>
      <family val="1"/>
      <charset val="2"/>
    </font>
    <font>
      <sz val="24"/>
      <color theme="1"/>
      <name val="Arial"/>
      <family val="2"/>
    </font>
    <font>
      <b/>
      <sz val="12"/>
      <color rgb="FFFFFFFF"/>
      <name val="Calibri"/>
      <family val="2"/>
    </font>
    <font>
      <b/>
      <sz val="22"/>
      <name val="Arial"/>
      <family val="2"/>
    </font>
    <font>
      <sz val="8"/>
      <name val="Arial"/>
      <family val="2"/>
    </font>
    <font>
      <b/>
      <sz val="8"/>
      <color theme="0"/>
      <name val="Arial"/>
      <family val="2"/>
    </font>
    <font>
      <sz val="8"/>
      <color theme="1"/>
      <name val="Calibri"/>
      <family val="2"/>
      <scheme val="minor"/>
    </font>
    <font>
      <b/>
      <sz val="8"/>
      <color theme="0"/>
      <name val="Calibri"/>
      <family val="2"/>
      <scheme val="minor"/>
    </font>
    <font>
      <b/>
      <sz val="14"/>
      <color theme="0"/>
      <name val="Arial"/>
      <family val="2"/>
    </font>
    <font>
      <b/>
      <sz val="11"/>
      <color rgb="FF000000"/>
      <name val="Calibri"/>
      <family val="2"/>
    </font>
    <font>
      <u/>
      <sz val="11"/>
      <color theme="10"/>
      <name val="Calibri"/>
      <family val="2"/>
      <scheme val="minor"/>
    </font>
    <font>
      <sz val="9"/>
      <name val="Calibri"/>
      <family val="2"/>
      <scheme val="minor"/>
    </font>
    <font>
      <b/>
      <sz val="12"/>
      <color theme="0"/>
      <name val="Calibri"/>
      <family val="2"/>
      <scheme val="minor"/>
    </font>
    <font>
      <sz val="10"/>
      <color theme="0"/>
      <name val="Arial"/>
      <family val="2"/>
    </font>
    <font>
      <b/>
      <sz val="8"/>
      <color indexed="81"/>
      <name val="Tahoma"/>
      <family val="2"/>
    </font>
    <font>
      <sz val="8"/>
      <color indexed="81"/>
      <name val="Tahoma"/>
      <family val="2"/>
    </font>
    <font>
      <sz val="8"/>
      <color theme="0"/>
      <name val="Arial"/>
      <family val="2"/>
    </font>
    <font>
      <sz val="9"/>
      <color theme="1"/>
      <name val="Calibri"/>
      <family val="2"/>
      <scheme val="minor"/>
    </font>
    <font>
      <b/>
      <sz val="18"/>
      <color theme="0"/>
      <name val="Calibri"/>
      <family val="2"/>
      <scheme val="minor"/>
    </font>
    <font>
      <b/>
      <sz val="12"/>
      <color theme="0"/>
      <name val="Arial"/>
      <family val="2"/>
    </font>
    <font>
      <b/>
      <sz val="18"/>
      <color theme="3"/>
      <name val="Calibri"/>
      <family val="2"/>
      <scheme val="minor"/>
    </font>
    <font>
      <b/>
      <sz val="18"/>
      <color theme="3"/>
      <name val="Calibri"/>
      <family val="2"/>
    </font>
    <font>
      <b/>
      <sz val="14"/>
      <color theme="0"/>
      <name val="Calibri"/>
      <family val="2"/>
    </font>
    <font>
      <sz val="11"/>
      <color indexed="8"/>
      <name val="Calibri"/>
      <family val="2"/>
      <charset val="1"/>
    </font>
    <font>
      <sz val="10"/>
      <name val="Arial"/>
      <family val="2"/>
      <charset val="1"/>
    </font>
    <font>
      <b/>
      <sz val="18"/>
      <color indexed="63"/>
      <name val="Arial"/>
      <family val="2"/>
      <charset val="1"/>
    </font>
    <font>
      <sz val="10"/>
      <color indexed="63"/>
      <name val="Arial"/>
      <family val="2"/>
      <charset val="1"/>
    </font>
    <font>
      <b/>
      <sz val="10"/>
      <color indexed="63"/>
      <name val="Arial"/>
      <family val="2"/>
      <charset val="1"/>
    </font>
    <font>
      <b/>
      <sz val="10"/>
      <color indexed="9"/>
      <name val="Arial"/>
      <family val="2"/>
      <charset val="1"/>
    </font>
    <font>
      <b/>
      <sz val="16"/>
      <color theme="3"/>
      <name val="Calibri"/>
      <family val="2"/>
      <scheme val="minor"/>
    </font>
    <font>
      <b/>
      <sz val="18"/>
      <color theme="5" tint="-0.249977111117893"/>
      <name val="Calibri"/>
      <family val="2"/>
      <scheme val="minor"/>
    </font>
    <font>
      <b/>
      <sz val="11"/>
      <color theme="1"/>
      <name val="Calibri"/>
      <family val="2"/>
      <scheme val="minor"/>
    </font>
    <font>
      <b/>
      <sz val="12"/>
      <color theme="0"/>
      <name val="Calibri"/>
      <family val="2"/>
    </font>
    <font>
      <sz val="12"/>
      <color theme="1"/>
      <name val="Calibri"/>
      <family val="2"/>
      <scheme val="minor"/>
    </font>
    <font>
      <b/>
      <sz val="14"/>
      <color theme="1"/>
      <name val="Calibri"/>
      <family val="2"/>
      <scheme val="minor"/>
    </font>
  </fonts>
  <fills count="31">
    <fill>
      <patternFill patternType="none"/>
    </fill>
    <fill>
      <patternFill patternType="gray125"/>
    </fill>
    <fill>
      <patternFill patternType="solid">
        <fgColor theme="3" tint="-0.249977111117893"/>
        <bgColor indexed="64"/>
      </patternFill>
    </fill>
    <fill>
      <patternFill patternType="solid">
        <fgColor rgb="FF83CAFF"/>
        <bgColor indexed="64"/>
      </patternFill>
    </fill>
    <fill>
      <patternFill patternType="solid">
        <fgColor rgb="FF83CAFF"/>
        <bgColor indexed="8"/>
      </patternFill>
    </fill>
    <fill>
      <patternFill patternType="solid">
        <fgColor indexed="9"/>
        <bgColor indexed="64"/>
      </patternFill>
    </fill>
    <fill>
      <patternFill patternType="solid">
        <fgColor theme="0"/>
        <bgColor indexed="64"/>
      </patternFill>
    </fill>
    <fill>
      <patternFill patternType="solid">
        <fgColor theme="3"/>
        <bgColor indexed="64"/>
      </patternFill>
    </fill>
    <fill>
      <patternFill patternType="solid">
        <fgColor theme="8" tint="0.79998168889431442"/>
        <bgColor indexed="64"/>
      </patternFill>
    </fill>
    <fill>
      <patternFill patternType="solid">
        <fgColor theme="5" tint="-0.249977111117893"/>
        <bgColor indexed="64"/>
      </patternFill>
    </fill>
    <fill>
      <patternFill patternType="solid">
        <fgColor rgb="FF17365D"/>
        <bgColor rgb="FF17365D"/>
      </patternFill>
    </fill>
    <fill>
      <patternFill patternType="solid">
        <fgColor theme="3" tint="-0.249977111117893"/>
        <bgColor rgb="FF366092"/>
      </patternFill>
    </fill>
    <fill>
      <patternFill patternType="solid">
        <fgColor rgb="FFFFFFFF"/>
        <bgColor rgb="FFFFFFFF"/>
      </patternFill>
    </fill>
    <fill>
      <patternFill patternType="solid">
        <fgColor rgb="FF366092"/>
        <bgColor rgb="FF366092"/>
      </patternFill>
    </fill>
    <fill>
      <patternFill patternType="solid">
        <fgColor theme="7" tint="0.79998168889431442"/>
        <bgColor indexed="64"/>
      </patternFill>
    </fill>
    <fill>
      <patternFill patternType="solid">
        <fgColor theme="5" tint="-0.499984740745262"/>
        <bgColor indexed="64"/>
      </patternFill>
    </fill>
    <fill>
      <patternFill patternType="solid">
        <fgColor theme="7" tint="-0.249977111117893"/>
        <bgColor indexed="64"/>
      </patternFill>
    </fill>
    <fill>
      <patternFill patternType="solid">
        <fgColor theme="6"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7"/>
        <bgColor indexed="64"/>
      </patternFill>
    </fill>
    <fill>
      <patternFill patternType="solid">
        <fgColor theme="4" tint="-0.249977111117893"/>
        <bgColor indexed="64"/>
      </patternFill>
    </fill>
    <fill>
      <patternFill patternType="solid">
        <fgColor theme="1" tint="0.249977111117893"/>
        <bgColor indexed="64"/>
      </patternFill>
    </fill>
    <fill>
      <patternFill patternType="solid">
        <fgColor theme="6" tint="-0.249977111117893"/>
        <bgColor indexed="64"/>
      </patternFill>
    </fill>
    <fill>
      <patternFill patternType="solid">
        <fgColor theme="5"/>
        <bgColor indexed="64"/>
      </patternFill>
    </fill>
    <fill>
      <patternFill patternType="solid">
        <fgColor theme="1" tint="0.499984740745262"/>
        <bgColor indexed="64"/>
      </patternFill>
    </fill>
    <fill>
      <patternFill patternType="solid">
        <fgColor rgb="FF83CAFF"/>
        <bgColor indexed="24"/>
      </patternFill>
    </fill>
    <fill>
      <patternFill patternType="solid">
        <fgColor indexed="9"/>
        <bgColor indexed="26"/>
      </patternFill>
    </fill>
    <fill>
      <patternFill patternType="solid">
        <fgColor rgb="FF0070C0"/>
        <bgColor indexed="21"/>
      </patternFill>
    </fill>
    <fill>
      <patternFill patternType="solid">
        <fgColor theme="5" tint="0.59999389629810485"/>
        <bgColor indexed="64"/>
      </patternFill>
    </fill>
    <fill>
      <patternFill patternType="solid">
        <fgColor theme="6" tint="0.59999389629810485"/>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style="thin">
        <color rgb="FF0070C0"/>
      </top>
      <bottom/>
      <diagonal/>
    </border>
    <border>
      <left/>
      <right style="thin">
        <color rgb="FF0070C0"/>
      </right>
      <top style="thin">
        <color rgb="FF0070C0"/>
      </top>
      <bottom/>
      <diagonal/>
    </border>
    <border>
      <left/>
      <right style="thin">
        <color rgb="FF0070C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left>
      <right style="thin">
        <color theme="5"/>
      </right>
      <top style="thin">
        <color theme="5"/>
      </top>
      <bottom style="thin">
        <color theme="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medium">
        <color indexed="64"/>
      </right>
      <top style="thin">
        <color rgb="FF000000"/>
      </top>
      <bottom style="thin">
        <color rgb="FF000000"/>
      </bottom>
      <diagonal/>
    </border>
    <border>
      <left/>
      <right style="thin">
        <color rgb="FF000000"/>
      </right>
      <top style="thin">
        <color rgb="FF000000"/>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top style="thin">
        <color rgb="FF000000"/>
      </top>
      <bottom style="thin">
        <color rgb="FF000000"/>
      </bottom>
      <diagonal/>
    </border>
    <border>
      <left/>
      <right/>
      <top style="thin">
        <color rgb="FF000000"/>
      </top>
      <bottom style="thin">
        <color rgb="FF000000"/>
      </bottom>
      <diagonal/>
    </border>
    <border>
      <left/>
      <right style="thin">
        <color theme="5"/>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thin">
        <color theme="5"/>
      </left>
      <right style="thin">
        <color theme="5"/>
      </right>
      <top style="thin">
        <color theme="5"/>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style="thin">
        <color rgb="FF0084D1"/>
      </left>
      <right style="thin">
        <color rgb="FF0084D1"/>
      </right>
      <top style="thin">
        <color rgb="FF0084D1"/>
      </top>
      <bottom style="thin">
        <color rgb="FF0084D1"/>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theme="5"/>
      </left>
      <right/>
      <top style="thin">
        <color theme="5"/>
      </top>
      <bottom style="thin">
        <color theme="5"/>
      </bottom>
      <diagonal/>
    </border>
    <border>
      <left style="thin">
        <color theme="5"/>
      </left>
      <right/>
      <top style="thin">
        <color theme="5"/>
      </top>
      <bottom/>
      <diagonal/>
    </border>
  </borders>
  <cellStyleXfs count="5">
    <xf numFmtId="0" fontId="0" fillId="0" borderId="0"/>
    <xf numFmtId="0" fontId="21" fillId="0" borderId="0"/>
    <xf numFmtId="0" fontId="41" fillId="0" borderId="0" applyNumberFormat="0" applyFill="0" applyBorder="0" applyAlignment="0" applyProtection="0"/>
    <xf numFmtId="0" fontId="54" fillId="0" borderId="0"/>
    <xf numFmtId="0" fontId="55" fillId="0" borderId="0"/>
  </cellStyleXfs>
  <cellXfs count="315">
    <xf numFmtId="0" fontId="0" fillId="0" borderId="0" xfId="0"/>
    <xf numFmtId="0" fontId="0" fillId="3" borderId="0" xfId="0" applyFill="1" applyBorder="1"/>
    <xf numFmtId="0" fontId="3" fillId="4" borderId="2" xfId="0" applyFont="1" applyFill="1" applyBorder="1" applyAlignment="1" applyProtection="1">
      <alignment vertical="top"/>
    </xf>
    <xf numFmtId="0" fontId="4" fillId="4" borderId="2" xfId="0" applyFont="1" applyFill="1" applyBorder="1" applyAlignment="1" applyProtection="1">
      <alignment vertical="top" wrapText="1"/>
    </xf>
    <xf numFmtId="0" fontId="4" fillId="4" borderId="2" xfId="0" applyFont="1" applyFill="1" applyBorder="1" applyAlignment="1" applyProtection="1">
      <alignment vertical="center"/>
    </xf>
    <xf numFmtId="0" fontId="0" fillId="3" borderId="2" xfId="0" applyFill="1" applyBorder="1"/>
    <xf numFmtId="0" fontId="5" fillId="4" borderId="2" xfId="0" applyFont="1" applyFill="1" applyBorder="1" applyAlignment="1" applyProtection="1">
      <alignment horizontal="right" vertical="top"/>
    </xf>
    <xf numFmtId="0" fontId="6" fillId="3" borderId="2" xfId="0" applyFont="1" applyFill="1" applyBorder="1" applyAlignment="1">
      <alignment vertical="top" wrapText="1"/>
    </xf>
    <xf numFmtId="0" fontId="6" fillId="3" borderId="3" xfId="0" applyFont="1" applyFill="1" applyBorder="1" applyAlignment="1">
      <alignment vertical="top" wrapText="1"/>
    </xf>
    <xf numFmtId="0" fontId="6" fillId="0" borderId="0" xfId="0" applyFont="1" applyAlignment="1">
      <alignment vertical="top" wrapText="1"/>
    </xf>
    <xf numFmtId="0" fontId="0" fillId="3" borderId="4" xfId="0" applyFill="1" applyBorder="1"/>
    <xf numFmtId="0" fontId="0" fillId="3" borderId="0" xfId="0" applyFill="1" applyBorder="1" applyAlignment="1">
      <alignment wrapText="1"/>
    </xf>
    <xf numFmtId="0" fontId="9" fillId="0" borderId="0" xfId="0" applyFont="1"/>
    <xf numFmtId="0" fontId="7" fillId="3" borderId="0" xfId="0" applyFont="1" applyFill="1" applyBorder="1" applyAlignment="1">
      <alignment vertical="center"/>
    </xf>
    <xf numFmtId="0" fontId="8" fillId="3" borderId="0" xfId="0" applyFont="1" applyFill="1" applyBorder="1" applyAlignment="1">
      <alignment vertical="center"/>
    </xf>
    <xf numFmtId="0" fontId="12" fillId="4" borderId="2" xfId="0" applyFont="1" applyFill="1" applyBorder="1" applyAlignment="1" applyProtection="1">
      <alignment vertical="center"/>
    </xf>
    <xf numFmtId="0" fontId="10" fillId="3" borderId="0" xfId="0" applyFont="1" applyFill="1" applyBorder="1" applyAlignment="1">
      <alignment vertical="center"/>
    </xf>
    <xf numFmtId="0" fontId="15" fillId="3" borderId="0" xfId="0" applyFont="1" applyFill="1" applyBorder="1" applyAlignment="1" applyProtection="1">
      <alignment vertical="center" wrapText="1"/>
    </xf>
    <xf numFmtId="0" fontId="15" fillId="3" borderId="0" xfId="0" applyFont="1" applyFill="1" applyBorder="1" applyAlignment="1">
      <alignment vertical="center"/>
    </xf>
    <xf numFmtId="0" fontId="15" fillId="3" borderId="4" xfId="0" applyFont="1" applyFill="1" applyBorder="1" applyAlignment="1">
      <alignment vertical="center"/>
    </xf>
    <xf numFmtId="0" fontId="15" fillId="0" borderId="0" xfId="0" applyFont="1" applyAlignment="1">
      <alignment vertical="center"/>
    </xf>
    <xf numFmtId="0" fontId="11" fillId="4" borderId="2" xfId="0" applyFont="1" applyFill="1" applyBorder="1" applyAlignment="1" applyProtection="1">
      <alignment vertical="center"/>
    </xf>
    <xf numFmtId="0" fontId="12" fillId="4" borderId="2" xfId="0" applyFont="1" applyFill="1" applyBorder="1" applyAlignment="1" applyProtection="1">
      <alignment vertical="center" wrapText="1"/>
    </xf>
    <xf numFmtId="0" fontId="10" fillId="3" borderId="2" xfId="0" applyFont="1" applyFill="1" applyBorder="1" applyAlignment="1">
      <alignment vertical="center"/>
    </xf>
    <xf numFmtId="0" fontId="13" fillId="4" borderId="2" xfId="0" applyFont="1" applyFill="1" applyBorder="1" applyAlignment="1" applyProtection="1">
      <alignment horizontal="right" vertical="center"/>
    </xf>
    <xf numFmtId="0" fontId="6" fillId="3" borderId="2" xfId="0" applyFont="1" applyFill="1" applyBorder="1" applyAlignment="1">
      <alignment vertical="center" wrapText="1"/>
    </xf>
    <xf numFmtId="0" fontId="6" fillId="3" borderId="3" xfId="0" applyFont="1" applyFill="1" applyBorder="1" applyAlignment="1">
      <alignment vertical="center" wrapText="1"/>
    </xf>
    <xf numFmtId="0" fontId="6" fillId="5" borderId="0" xfId="0" applyFont="1" applyFill="1" applyAlignment="1">
      <alignment vertical="center" wrapText="1"/>
    </xf>
    <xf numFmtId="0" fontId="6" fillId="0" borderId="0" xfId="0" applyFont="1" applyAlignment="1">
      <alignment vertical="center" wrapText="1"/>
    </xf>
    <xf numFmtId="0" fontId="10" fillId="3" borderId="4" xfId="0" applyFont="1" applyFill="1" applyBorder="1" applyAlignment="1">
      <alignment vertical="center"/>
    </xf>
    <xf numFmtId="0" fontId="10" fillId="5" borderId="0" xfId="0" applyFont="1" applyFill="1" applyAlignment="1">
      <alignment vertical="center"/>
    </xf>
    <xf numFmtId="0" fontId="10" fillId="0" borderId="0" xfId="0" applyFont="1" applyAlignment="1">
      <alignment vertical="center"/>
    </xf>
    <xf numFmtId="0" fontId="10" fillId="3" borderId="0" xfId="0" applyFont="1" applyFill="1" applyBorder="1" applyAlignment="1">
      <alignment vertical="center" wrapText="1"/>
    </xf>
    <xf numFmtId="0" fontId="14" fillId="3" borderId="0" xfId="0" applyFont="1" applyFill="1" applyBorder="1" applyAlignment="1">
      <alignment vertical="center"/>
    </xf>
    <xf numFmtId="0" fontId="16" fillId="7" borderId="0" xfId="0" applyFont="1" applyFill="1" applyBorder="1" applyAlignment="1">
      <alignment vertical="center"/>
    </xf>
    <xf numFmtId="0" fontId="16" fillId="7" borderId="0" xfId="0" applyFont="1" applyFill="1" applyBorder="1" applyAlignment="1">
      <alignment horizontal="left" vertical="center"/>
    </xf>
    <xf numFmtId="0" fontId="10" fillId="3" borderId="0" xfId="0" applyFont="1" applyFill="1" applyBorder="1" applyAlignment="1">
      <alignment horizontal="left" vertical="center"/>
    </xf>
    <xf numFmtId="0" fontId="14" fillId="3" borderId="0" xfId="0" applyFont="1" applyFill="1" applyBorder="1" applyAlignment="1">
      <alignment horizontal="left" vertical="top" wrapText="1"/>
    </xf>
    <xf numFmtId="0" fontId="16" fillId="7" borderId="0" xfId="0" applyFont="1" applyFill="1" applyBorder="1" applyAlignment="1" applyProtection="1">
      <alignment horizontal="right" vertical="center" wrapText="1"/>
    </xf>
    <xf numFmtId="0" fontId="16" fillId="7" borderId="0" xfId="0" applyFont="1" applyFill="1" applyBorder="1" applyAlignment="1">
      <alignment horizontal="right" vertical="center"/>
    </xf>
    <xf numFmtId="0" fontId="18" fillId="8" borderId="1" xfId="0" applyFont="1" applyFill="1" applyBorder="1" applyAlignment="1">
      <alignment horizontal="center" vertical="center"/>
    </xf>
    <xf numFmtId="0" fontId="16" fillId="9" borderId="0" xfId="0" applyFont="1" applyFill="1" applyBorder="1" applyAlignment="1">
      <alignment horizontal="center" vertical="center"/>
    </xf>
    <xf numFmtId="0" fontId="20" fillId="0" borderId="14" xfId="0" applyFont="1" applyBorder="1" applyAlignment="1" applyProtection="1">
      <alignment horizontal="center" vertical="center"/>
      <protection locked="0"/>
    </xf>
    <xf numFmtId="0" fontId="23" fillId="11" borderId="18" xfId="1" applyFont="1" applyFill="1" applyBorder="1" applyAlignment="1">
      <alignment horizontal="center" vertical="center" wrapText="1"/>
    </xf>
    <xf numFmtId="0" fontId="21" fillId="12" borderId="19" xfId="1" applyFont="1" applyFill="1" applyBorder="1" applyAlignment="1">
      <alignment vertical="center" wrapText="1"/>
    </xf>
    <xf numFmtId="0" fontId="21" fillId="12" borderId="20" xfId="1" applyFont="1" applyFill="1" applyBorder="1" applyAlignment="1">
      <alignment vertical="center" wrapText="1"/>
    </xf>
    <xf numFmtId="0" fontId="21" fillId="0" borderId="16" xfId="1" applyFont="1" applyBorder="1" applyAlignment="1"/>
    <xf numFmtId="0" fontId="24" fillId="13" borderId="18" xfId="1" applyFont="1" applyFill="1" applyBorder="1" applyAlignment="1">
      <alignment horizontal="left" vertical="top" wrapText="1"/>
    </xf>
    <xf numFmtId="0" fontId="25" fillId="0" borderId="23" xfId="1" applyFont="1" applyFill="1" applyBorder="1" applyAlignment="1">
      <alignment horizontal="center" vertical="center" wrapText="1"/>
    </xf>
    <xf numFmtId="0" fontId="21" fillId="12" borderId="24" xfId="1" applyFont="1" applyFill="1" applyBorder="1" applyAlignment="1">
      <alignment horizontal="center" vertical="center" wrapText="1"/>
    </xf>
    <xf numFmtId="0" fontId="21" fillId="12" borderId="23" xfId="1" applyFont="1" applyFill="1" applyBorder="1" applyAlignment="1">
      <alignment horizontal="center" vertical="center" wrapText="1"/>
    </xf>
    <xf numFmtId="0" fontId="21" fillId="0" borderId="0" xfId="1" applyFont="1" applyAlignment="1">
      <alignment horizontal="center" vertical="center"/>
    </xf>
    <xf numFmtId="0" fontId="26" fillId="0" borderId="27" xfId="1" applyFont="1" applyBorder="1" applyAlignment="1">
      <alignment horizontal="center" vertical="center" wrapText="1"/>
    </xf>
    <xf numFmtId="0" fontId="21" fillId="12" borderId="28" xfId="1" applyFont="1" applyFill="1" applyBorder="1" applyAlignment="1">
      <alignment horizontal="center" vertical="center" wrapText="1"/>
    </xf>
    <xf numFmtId="0" fontId="21" fillId="12" borderId="25" xfId="1" applyFont="1" applyFill="1" applyBorder="1" applyAlignment="1">
      <alignment horizontal="center" vertical="center" wrapText="1"/>
    </xf>
    <xf numFmtId="0" fontId="25" fillId="0" borderId="25" xfId="1" applyFont="1" applyBorder="1" applyAlignment="1">
      <alignment horizontal="left" vertical="center" wrapText="1"/>
    </xf>
    <xf numFmtId="0" fontId="21" fillId="12" borderId="28" xfId="1" applyFont="1" applyFill="1" applyBorder="1" applyAlignment="1">
      <alignment vertical="center" wrapText="1"/>
    </xf>
    <xf numFmtId="0" fontId="21" fillId="12" borderId="25" xfId="1" applyFont="1" applyFill="1" applyBorder="1" applyAlignment="1">
      <alignment vertical="center" wrapText="1"/>
    </xf>
    <xf numFmtId="0" fontId="21" fillId="0" borderId="0" xfId="1" applyFont="1" applyAlignment="1"/>
    <xf numFmtId="0" fontId="25" fillId="0" borderId="25" xfId="1" applyFont="1" applyBorder="1" applyAlignment="1">
      <alignment vertical="top" wrapText="1"/>
    </xf>
    <xf numFmtId="0" fontId="21" fillId="0" borderId="25" xfId="1" applyFont="1" applyBorder="1" applyAlignment="1">
      <alignment horizontal="left" vertical="center" wrapText="1"/>
    </xf>
    <xf numFmtId="0" fontId="21" fillId="0" borderId="29" xfId="1" applyFont="1" applyBorder="1" applyAlignment="1"/>
    <xf numFmtId="0" fontId="21" fillId="0" borderId="25" xfId="1" applyFont="1" applyBorder="1" applyAlignment="1">
      <alignment vertical="center" wrapText="1"/>
    </xf>
    <xf numFmtId="0" fontId="26" fillId="0" borderId="27" xfId="1" applyFont="1" applyBorder="1" applyAlignment="1">
      <alignment horizontal="center" vertical="center"/>
    </xf>
    <xf numFmtId="0" fontId="21" fillId="0" borderId="25" xfId="1" applyFont="1" applyBorder="1" applyAlignment="1">
      <alignment horizontal="center" vertical="center" wrapText="1"/>
    </xf>
    <xf numFmtId="0" fontId="28" fillId="0" borderId="26" xfId="1" applyFont="1" applyBorder="1" applyAlignment="1">
      <alignment horizontal="left" vertical="center" wrapText="1"/>
    </xf>
    <xf numFmtId="0" fontId="27" fillId="0" borderId="26" xfId="1" applyFont="1" applyBorder="1" applyAlignment="1">
      <alignment horizontal="left" vertical="center" wrapText="1"/>
    </xf>
    <xf numFmtId="0" fontId="15" fillId="6" borderId="0" xfId="0" applyFont="1" applyFill="1" applyBorder="1" applyAlignment="1">
      <alignment horizontal="left" vertical="center" wrapText="1"/>
    </xf>
    <xf numFmtId="0" fontId="30" fillId="6" borderId="1" xfId="0" applyFont="1" applyFill="1" applyBorder="1" applyAlignment="1">
      <alignment horizontal="center" vertical="center" wrapText="1"/>
    </xf>
    <xf numFmtId="0" fontId="31" fillId="6" borderId="1" xfId="0" applyFont="1" applyFill="1" applyBorder="1" applyAlignment="1">
      <alignment horizontal="center" vertical="center" wrapText="1"/>
    </xf>
    <xf numFmtId="0" fontId="17" fillId="3" borderId="0" xfId="0" applyFont="1" applyFill="1" applyBorder="1" applyAlignment="1">
      <alignment vertical="center"/>
    </xf>
    <xf numFmtId="0" fontId="21" fillId="0" borderId="0" xfId="1" applyFont="1" applyAlignment="1">
      <alignment wrapText="1"/>
    </xf>
    <xf numFmtId="0" fontId="21" fillId="0" borderId="0" xfId="1" applyFont="1" applyAlignment="1">
      <alignment vertical="center" wrapText="1"/>
    </xf>
    <xf numFmtId="0" fontId="10" fillId="0" borderId="0" xfId="0" applyFont="1" applyAlignment="1">
      <alignment horizontal="left" vertical="center"/>
    </xf>
    <xf numFmtId="14" fontId="15" fillId="6" borderId="0" xfId="0" applyNumberFormat="1" applyFont="1" applyFill="1" applyBorder="1" applyAlignment="1">
      <alignment horizontal="left" vertical="center" wrapText="1"/>
    </xf>
    <xf numFmtId="0" fontId="0" fillId="0" borderId="1" xfId="0" applyBorder="1"/>
    <xf numFmtId="0" fontId="2" fillId="2" borderId="35" xfId="0" applyFont="1" applyFill="1" applyBorder="1" applyAlignment="1">
      <alignment horizontal="center" vertical="center"/>
    </xf>
    <xf numFmtId="0" fontId="2" fillId="2" borderId="36" xfId="0" applyFont="1" applyFill="1" applyBorder="1" applyAlignment="1">
      <alignment horizontal="center" vertical="center"/>
    </xf>
    <xf numFmtId="0" fontId="0" fillId="14" borderId="1" xfId="0" applyFill="1" applyBorder="1"/>
    <xf numFmtId="0" fontId="0" fillId="14" borderId="34" xfId="0" applyFill="1" applyBorder="1"/>
    <xf numFmtId="0" fontId="33" fillId="13" borderId="21" xfId="1" applyFont="1" applyFill="1" applyBorder="1" applyAlignment="1">
      <alignment horizontal="center" vertical="center" wrapText="1"/>
    </xf>
    <xf numFmtId="0" fontId="33" fillId="13" borderId="20" xfId="1" applyFont="1" applyFill="1" applyBorder="1" applyAlignment="1">
      <alignment horizontal="center" vertical="center" wrapText="1"/>
    </xf>
    <xf numFmtId="0" fontId="33" fillId="13" borderId="22" xfId="1" applyFont="1" applyFill="1" applyBorder="1" applyAlignment="1">
      <alignment horizontal="center" vertical="center" wrapText="1"/>
    </xf>
    <xf numFmtId="0" fontId="15" fillId="6" borderId="0" xfId="0" applyFont="1" applyFill="1" applyBorder="1" applyAlignment="1">
      <alignment horizontal="left" vertical="center" wrapText="1"/>
    </xf>
    <xf numFmtId="0" fontId="9" fillId="3" borderId="0" xfId="0" applyFont="1" applyFill="1"/>
    <xf numFmtId="0" fontId="35" fillId="3" borderId="0" xfId="0" applyFont="1" applyFill="1"/>
    <xf numFmtId="0" fontId="37" fillId="0" borderId="0" xfId="0" applyFont="1"/>
    <xf numFmtId="0" fontId="9" fillId="21" borderId="17" xfId="0" applyFont="1" applyFill="1" applyBorder="1"/>
    <xf numFmtId="0" fontId="36" fillId="2" borderId="37" xfId="0" applyFont="1" applyFill="1" applyBorder="1" applyAlignment="1">
      <alignment horizontal="center" vertical="center"/>
    </xf>
    <xf numFmtId="0" fontId="36" fillId="2" borderId="38" xfId="0" applyFont="1" applyFill="1" applyBorder="1" applyAlignment="1">
      <alignment horizontal="center" vertical="center"/>
    </xf>
    <xf numFmtId="0" fontId="38" fillId="0" borderId="38" xfId="0" applyFont="1" applyBorder="1" applyAlignment="1">
      <alignment horizontal="center" vertical="center"/>
    </xf>
    <xf numFmtId="0" fontId="10" fillId="7" borderId="0" xfId="0" applyFont="1" applyFill="1" applyBorder="1" applyAlignment="1">
      <alignment vertical="center"/>
    </xf>
    <xf numFmtId="0" fontId="0" fillId="7" borderId="0" xfId="0" applyFill="1"/>
    <xf numFmtId="0" fontId="39" fillId="7" borderId="0" xfId="0" applyFont="1" applyFill="1" applyBorder="1" applyAlignment="1">
      <alignment horizontal="left" vertical="center"/>
    </xf>
    <xf numFmtId="0" fontId="29" fillId="7" borderId="0" xfId="0" applyFont="1" applyFill="1" applyBorder="1" applyAlignment="1">
      <alignment horizontal="right" vertical="center"/>
    </xf>
    <xf numFmtId="0" fontId="0" fillId="0" borderId="0" xfId="0" applyFill="1" applyBorder="1"/>
    <xf numFmtId="0" fontId="0" fillId="0" borderId="0" xfId="0" applyFill="1"/>
    <xf numFmtId="0" fontId="1" fillId="0" borderId="30" xfId="0" applyFont="1" applyBorder="1" applyAlignment="1">
      <alignment horizontal="center" vertical="center" wrapText="1"/>
    </xf>
    <xf numFmtId="0" fontId="20" fillId="0" borderId="14" xfId="0" applyFont="1" applyBorder="1" applyAlignment="1" applyProtection="1">
      <alignment horizontal="center" vertical="center" wrapText="1"/>
      <protection locked="0"/>
    </xf>
    <xf numFmtId="0" fontId="1" fillId="0" borderId="53" xfId="0" applyFont="1" applyBorder="1" applyAlignment="1">
      <alignment horizontal="center" vertical="center" wrapText="1"/>
    </xf>
    <xf numFmtId="0" fontId="20" fillId="0" borderId="14" xfId="0" applyFont="1" applyFill="1" applyBorder="1" applyAlignment="1" applyProtection="1">
      <alignment horizontal="center" vertical="center" wrapText="1"/>
      <protection locked="0"/>
    </xf>
    <xf numFmtId="0" fontId="15" fillId="6" borderId="0" xfId="0" quotePrefix="1" applyFont="1" applyFill="1" applyBorder="1" applyAlignment="1">
      <alignment horizontal="left" vertical="center" wrapText="1"/>
    </xf>
    <xf numFmtId="0" fontId="36" fillId="2" borderId="58" xfId="0" applyFont="1" applyFill="1" applyBorder="1" applyAlignment="1">
      <alignment horizontal="center" vertical="center"/>
    </xf>
    <xf numFmtId="0" fontId="9" fillId="21" borderId="15" xfId="0" applyFont="1" applyFill="1" applyBorder="1"/>
    <xf numFmtId="0" fontId="35" fillId="22" borderId="0" xfId="0" applyFont="1" applyFill="1"/>
    <xf numFmtId="0" fontId="9" fillId="22" borderId="0" xfId="0" applyFont="1" applyFill="1"/>
    <xf numFmtId="0" fontId="0" fillId="22" borderId="0" xfId="0" applyFill="1"/>
    <xf numFmtId="0" fontId="6" fillId="6" borderId="1" xfId="0" applyFont="1" applyFill="1" applyBorder="1" applyAlignment="1">
      <alignment horizontal="center" vertical="center"/>
    </xf>
    <xf numFmtId="0" fontId="6" fillId="21" borderId="1" xfId="0" applyFont="1" applyFill="1" applyBorder="1" applyAlignment="1">
      <alignment horizontal="center" vertical="center"/>
    </xf>
    <xf numFmtId="0" fontId="17" fillId="6" borderId="1" xfId="0" applyFont="1" applyFill="1" applyBorder="1" applyAlignment="1">
      <alignment horizontal="center" vertical="center"/>
    </xf>
    <xf numFmtId="0" fontId="41" fillId="6" borderId="1" xfId="2" applyFill="1" applyBorder="1" applyAlignment="1">
      <alignment horizontal="center" vertical="center"/>
    </xf>
    <xf numFmtId="0" fontId="42" fillId="6" borderId="1" xfId="2" quotePrefix="1" applyFont="1" applyFill="1" applyBorder="1" applyAlignment="1">
      <alignment horizontal="left" vertical="center"/>
    </xf>
    <xf numFmtId="0" fontId="0" fillId="3" borderId="0" xfId="0" applyFill="1" applyBorder="1" applyAlignment="1">
      <alignment vertical="center"/>
    </xf>
    <xf numFmtId="0" fontId="0" fillId="0" borderId="0" xfId="0" applyAlignment="1">
      <alignment vertical="center"/>
    </xf>
    <xf numFmtId="0" fontId="0" fillId="6" borderId="30" xfId="0" applyFill="1" applyBorder="1" applyAlignment="1">
      <alignment vertical="center"/>
    </xf>
    <xf numFmtId="0" fontId="0" fillId="6" borderId="30" xfId="0" applyFill="1" applyBorder="1" applyAlignment="1">
      <alignment vertical="center" wrapText="1"/>
    </xf>
    <xf numFmtId="0" fontId="48" fillId="6" borderId="5" xfId="0" applyFont="1" applyFill="1" applyBorder="1" applyAlignment="1">
      <alignment vertical="center" wrapText="1"/>
    </xf>
    <xf numFmtId="0" fontId="0" fillId="17" borderId="0" xfId="0" applyFill="1" applyBorder="1"/>
    <xf numFmtId="0" fontId="0" fillId="17" borderId="0" xfId="0" applyFill="1"/>
    <xf numFmtId="0" fontId="51" fillId="0" borderId="30" xfId="0" applyFont="1" applyBorder="1" applyAlignment="1">
      <alignment horizontal="center" vertical="center" wrapText="1"/>
    </xf>
    <xf numFmtId="0" fontId="52" fillId="0" borderId="27" xfId="1" applyFont="1" applyBorder="1" applyAlignment="1">
      <alignment horizontal="center" vertical="center" wrapText="1"/>
    </xf>
    <xf numFmtId="0" fontId="51" fillId="0" borderId="30" xfId="0" applyFont="1" applyFill="1" applyBorder="1" applyAlignment="1">
      <alignment horizontal="center" vertical="center" wrapText="1"/>
    </xf>
    <xf numFmtId="0" fontId="51" fillId="0" borderId="62" xfId="0" applyFont="1" applyBorder="1" applyAlignment="1">
      <alignment horizontal="center" vertical="center" wrapText="1"/>
    </xf>
    <xf numFmtId="0" fontId="20" fillId="0" borderId="63" xfId="0" applyFont="1" applyBorder="1" applyAlignment="1" applyProtection="1">
      <alignment horizontal="center" vertical="center" wrapText="1"/>
      <protection locked="0"/>
    </xf>
    <xf numFmtId="0" fontId="1" fillId="0" borderId="62" xfId="0" applyFont="1" applyBorder="1" applyAlignment="1">
      <alignment horizontal="center" vertical="center" wrapText="1"/>
    </xf>
    <xf numFmtId="0" fontId="1" fillId="0" borderId="64" xfId="0" applyFont="1" applyBorder="1" applyAlignment="1">
      <alignment horizontal="center" vertical="center" wrapText="1"/>
    </xf>
    <xf numFmtId="0" fontId="48" fillId="6" borderId="8" xfId="0" applyFont="1" applyFill="1" applyBorder="1" applyAlignment="1">
      <alignment vertical="center" wrapText="1"/>
    </xf>
    <xf numFmtId="0" fontId="0" fillId="6" borderId="62" xfId="0" applyFill="1" applyBorder="1" applyAlignment="1">
      <alignment vertical="center"/>
    </xf>
    <xf numFmtId="0" fontId="0" fillId="6" borderId="62" xfId="0" applyFill="1" applyBorder="1" applyAlignment="1">
      <alignment vertical="center" wrapText="1"/>
    </xf>
    <xf numFmtId="10" fontId="49" fillId="9" borderId="18" xfId="0" applyNumberFormat="1" applyFont="1" applyFill="1" applyBorder="1" applyAlignment="1">
      <alignment horizontal="center" vertical="center"/>
    </xf>
    <xf numFmtId="2" fontId="49" fillId="23" borderId="36" xfId="0" applyNumberFormat="1" applyFont="1" applyFill="1" applyBorder="1" applyAlignment="1">
      <alignment horizontal="center" vertical="center" wrapText="1"/>
    </xf>
    <xf numFmtId="2" fontId="49" fillId="24" borderId="36" xfId="0" applyNumberFormat="1" applyFont="1" applyFill="1" applyBorder="1" applyAlignment="1">
      <alignment horizontal="center" vertical="center" wrapText="1"/>
    </xf>
    <xf numFmtId="2" fontId="1" fillId="25" borderId="36" xfId="0" applyNumberFormat="1" applyFont="1" applyFill="1" applyBorder="1" applyAlignment="1">
      <alignment horizontal="center" vertical="center" wrapText="1"/>
    </xf>
    <xf numFmtId="2" fontId="49" fillId="9" borderId="18" xfId="0" applyNumberFormat="1" applyFont="1" applyFill="1" applyBorder="1" applyAlignment="1">
      <alignment horizontal="center" vertical="center"/>
    </xf>
    <xf numFmtId="0" fontId="35" fillId="3" borderId="0" xfId="0" applyFont="1" applyFill="1" applyAlignment="1">
      <alignment wrapText="1"/>
    </xf>
    <xf numFmtId="0" fontId="36" fillId="2" borderId="38"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35" fillId="22" borderId="0" xfId="0" applyFont="1" applyFill="1" applyAlignment="1">
      <alignment wrapText="1"/>
    </xf>
    <xf numFmtId="0" fontId="37" fillId="0" borderId="0" xfId="0" applyFont="1" applyAlignment="1">
      <alignment wrapText="1"/>
    </xf>
    <xf numFmtId="0" fontId="0" fillId="14" borderId="1" xfId="0" applyFill="1" applyBorder="1" applyAlignment="1">
      <alignment horizontal="left"/>
    </xf>
    <xf numFmtId="0" fontId="55" fillId="26" borderId="69" xfId="3" applyFont="1" applyFill="1" applyBorder="1"/>
    <xf numFmtId="0" fontId="55" fillId="26" borderId="70" xfId="3" applyFont="1" applyFill="1" applyBorder="1" applyAlignment="1">
      <alignment horizontal="left"/>
    </xf>
    <xf numFmtId="0" fontId="55" fillId="26" borderId="70" xfId="3" applyFont="1" applyFill="1" applyBorder="1"/>
    <xf numFmtId="0" fontId="55" fillId="26" borderId="0" xfId="3" applyFont="1" applyFill="1" applyBorder="1"/>
    <xf numFmtId="0" fontId="55" fillId="26" borderId="70" xfId="3" applyFont="1" applyFill="1" applyBorder="1" applyAlignment="1">
      <alignment horizontal="center"/>
    </xf>
    <xf numFmtId="0" fontId="55" fillId="26" borderId="71" xfId="3" applyFont="1" applyFill="1" applyBorder="1" applyAlignment="1">
      <alignment horizontal="center"/>
    </xf>
    <xf numFmtId="0" fontId="55" fillId="27" borderId="0" xfId="3" applyFont="1" applyFill="1" applyBorder="1"/>
    <xf numFmtId="0" fontId="57" fillId="26" borderId="73" xfId="3" applyFont="1" applyFill="1" applyBorder="1"/>
    <xf numFmtId="0" fontId="57" fillId="26" borderId="0" xfId="3" applyFont="1" applyFill="1" applyBorder="1" applyAlignment="1">
      <alignment horizontal="left"/>
    </xf>
    <xf numFmtId="0" fontId="57" fillId="26" borderId="0" xfId="3" applyFont="1" applyFill="1" applyBorder="1"/>
    <xf numFmtId="0" fontId="57" fillId="26" borderId="0" xfId="3" applyFont="1" applyFill="1" applyBorder="1" applyAlignment="1">
      <alignment horizontal="center"/>
    </xf>
    <xf numFmtId="0" fontId="57" fillId="26" borderId="74" xfId="3" applyFont="1" applyFill="1" applyBorder="1" applyAlignment="1">
      <alignment horizontal="center"/>
    </xf>
    <xf numFmtId="0" fontId="57" fillId="26" borderId="0" xfId="3" applyFont="1" applyFill="1" applyBorder="1" applyAlignment="1">
      <alignment horizontal="center" vertical="center"/>
    </xf>
    <xf numFmtId="0" fontId="57" fillId="26" borderId="73" xfId="1" applyFont="1" applyFill="1" applyBorder="1" applyProtection="1">
      <protection locked="0"/>
    </xf>
    <xf numFmtId="0" fontId="58" fillId="26" borderId="0" xfId="4" applyFont="1" applyFill="1" applyBorder="1" applyAlignment="1" applyProtection="1">
      <alignment vertical="center"/>
      <protection locked="0"/>
    </xf>
    <xf numFmtId="0" fontId="57" fillId="26" borderId="0" xfId="4" applyFont="1" applyFill="1" applyBorder="1" applyAlignment="1" applyProtection="1">
      <alignment vertical="center"/>
      <protection locked="0"/>
    </xf>
    <xf numFmtId="0" fontId="57" fillId="26" borderId="74" xfId="1" applyFont="1" applyFill="1" applyBorder="1" applyProtection="1">
      <protection locked="0"/>
    </xf>
    <xf numFmtId="0" fontId="55" fillId="27" borderId="0" xfId="1" applyFont="1" applyFill="1" applyBorder="1" applyProtection="1">
      <protection locked="0"/>
    </xf>
    <xf numFmtId="0" fontId="55" fillId="26" borderId="73" xfId="1" applyFont="1" applyFill="1" applyBorder="1" applyProtection="1">
      <protection locked="0"/>
    </xf>
    <xf numFmtId="0" fontId="59" fillId="28" borderId="75" xfId="4" applyFont="1" applyFill="1" applyBorder="1" applyAlignment="1" applyProtection="1">
      <alignment horizontal="center" vertical="center"/>
      <protection locked="0"/>
    </xf>
    <xf numFmtId="0" fontId="55" fillId="26" borderId="74" xfId="1" applyFont="1" applyFill="1" applyBorder="1" applyProtection="1">
      <protection locked="0"/>
    </xf>
    <xf numFmtId="164" fontId="55" fillId="0" borderId="75" xfId="4" applyNumberFormat="1" applyFont="1" applyFill="1" applyBorder="1" applyAlignment="1" applyProtection="1">
      <alignment horizontal="center" vertical="top"/>
      <protection locked="0"/>
    </xf>
    <xf numFmtId="0" fontId="55" fillId="26" borderId="0" xfId="4" applyFont="1" applyFill="1" applyBorder="1" applyProtection="1">
      <protection locked="0"/>
    </xf>
    <xf numFmtId="0" fontId="55" fillId="26" borderId="0" xfId="1" applyFont="1" applyFill="1" applyBorder="1" applyProtection="1">
      <protection locked="0"/>
    </xf>
    <xf numFmtId="0" fontId="55" fillId="26" borderId="76" xfId="1" applyFont="1" applyFill="1" applyBorder="1" applyProtection="1">
      <protection locked="0"/>
    </xf>
    <xf numFmtId="0" fontId="55" fillId="26" borderId="77" xfId="1" applyFont="1" applyFill="1" applyBorder="1" applyProtection="1">
      <protection locked="0"/>
    </xf>
    <xf numFmtId="0" fontId="55" fillId="26" borderId="78" xfId="1" applyFont="1" applyFill="1" applyBorder="1" applyProtection="1">
      <protection locked="0"/>
    </xf>
    <xf numFmtId="0" fontId="55" fillId="0" borderId="0" xfId="1" applyFont="1" applyFill="1" applyBorder="1" applyProtection="1">
      <protection locked="0"/>
    </xf>
    <xf numFmtId="0" fontId="15" fillId="6" borderId="0" xfId="0" applyFont="1" applyFill="1" applyBorder="1" applyAlignment="1">
      <alignment horizontal="left" vertical="center" wrapText="1"/>
    </xf>
    <xf numFmtId="0" fontId="15" fillId="6" borderId="0" xfId="0" quotePrefix="1" applyFont="1" applyFill="1" applyBorder="1" applyAlignment="1">
      <alignment horizontal="left" vertical="center" wrapText="1"/>
    </xf>
    <xf numFmtId="0" fontId="41" fillId="14" borderId="1" xfId="2" applyFill="1" applyBorder="1" applyAlignment="1">
      <alignment horizontal="left"/>
    </xf>
    <xf numFmtId="0" fontId="15" fillId="6" borderId="0" xfId="0" applyFont="1" applyFill="1" applyBorder="1" applyAlignment="1">
      <alignment horizontal="left" vertical="center" wrapText="1"/>
    </xf>
    <xf numFmtId="0" fontId="25" fillId="29" borderId="23" xfId="1" applyFont="1" applyFill="1" applyBorder="1" applyAlignment="1">
      <alignment horizontal="center" vertical="center" wrapText="1"/>
    </xf>
    <xf numFmtId="0" fontId="21" fillId="29" borderId="25" xfId="1" applyFont="1" applyFill="1" applyBorder="1" applyAlignment="1">
      <alignment horizontal="center" vertical="center" wrapText="1"/>
    </xf>
    <xf numFmtId="0" fontId="21" fillId="29" borderId="25" xfId="1" applyFont="1" applyFill="1" applyBorder="1" applyAlignment="1">
      <alignment horizontal="left" vertical="center" wrapText="1"/>
    </xf>
    <xf numFmtId="0" fontId="51" fillId="29" borderId="30" xfId="0" applyFont="1" applyFill="1" applyBorder="1" applyAlignment="1">
      <alignment horizontal="center" vertical="center" wrapText="1"/>
    </xf>
    <xf numFmtId="0" fontId="20" fillId="29" borderId="14" xfId="0" applyFont="1" applyFill="1" applyBorder="1" applyAlignment="1" applyProtection="1">
      <alignment horizontal="center" vertical="center" wrapText="1"/>
      <protection locked="0"/>
    </xf>
    <xf numFmtId="0" fontId="25" fillId="30" borderId="23" xfId="1" applyFont="1" applyFill="1" applyBorder="1" applyAlignment="1">
      <alignment horizontal="center" vertical="center" wrapText="1"/>
    </xf>
    <xf numFmtId="0" fontId="21" fillId="30" borderId="25" xfId="1" applyFont="1" applyFill="1" applyBorder="1" applyAlignment="1">
      <alignment horizontal="center" vertical="center" wrapText="1"/>
    </xf>
    <xf numFmtId="0" fontId="21" fillId="30" borderId="25" xfId="1" applyFont="1" applyFill="1" applyBorder="1" applyAlignment="1">
      <alignment horizontal="left" vertical="center" wrapText="1"/>
    </xf>
    <xf numFmtId="0" fontId="51" fillId="30" borderId="30" xfId="0" applyFont="1" applyFill="1" applyBorder="1" applyAlignment="1">
      <alignment horizontal="center" vertical="center" wrapText="1"/>
    </xf>
    <xf numFmtId="0" fontId="20" fillId="30" borderId="14" xfId="0" applyFont="1" applyFill="1" applyBorder="1" applyAlignment="1" applyProtection="1">
      <alignment horizontal="center" vertical="center" wrapText="1"/>
      <protection locked="0"/>
    </xf>
    <xf numFmtId="0" fontId="25" fillId="30" borderId="25" xfId="1" applyFont="1" applyFill="1" applyBorder="1" applyAlignment="1">
      <alignment horizontal="left" vertical="center" wrapText="1"/>
    </xf>
    <xf numFmtId="0" fontId="51" fillId="30" borderId="62" xfId="0" applyFont="1" applyFill="1" applyBorder="1" applyAlignment="1">
      <alignment horizontal="center" vertical="center" wrapText="1"/>
    </xf>
    <xf numFmtId="0" fontId="20" fillId="30" borderId="63" xfId="0" applyFont="1" applyFill="1" applyBorder="1" applyAlignment="1" applyProtection="1">
      <alignment horizontal="center" vertical="center" wrapText="1"/>
      <protection locked="0"/>
    </xf>
    <xf numFmtId="0" fontId="24" fillId="13" borderId="15" xfId="1" applyFont="1" applyFill="1" applyBorder="1" applyAlignment="1">
      <alignment horizontal="left" vertical="top" wrapText="1"/>
    </xf>
    <xf numFmtId="0" fontId="20" fillId="30" borderId="79" xfId="0" applyFont="1" applyFill="1" applyBorder="1" applyAlignment="1" applyProtection="1">
      <alignment horizontal="center" vertical="center" wrapText="1"/>
      <protection locked="0"/>
    </xf>
    <xf numFmtId="0" fontId="20" fillId="0" borderId="79" xfId="0" applyFont="1" applyBorder="1" applyAlignment="1" applyProtection="1">
      <alignment horizontal="center" vertical="center" wrapText="1"/>
      <protection locked="0"/>
    </xf>
    <xf numFmtId="0" fontId="20" fillId="0" borderId="79" xfId="0" applyFont="1" applyFill="1" applyBorder="1" applyAlignment="1" applyProtection="1">
      <alignment horizontal="center" vertical="center" wrapText="1"/>
      <protection locked="0"/>
    </xf>
    <xf numFmtId="0" fontId="20" fillId="30" borderId="80" xfId="0" applyFont="1" applyFill="1" applyBorder="1" applyAlignment="1" applyProtection="1">
      <alignment horizontal="center" vertical="center" wrapText="1"/>
      <protection locked="0"/>
    </xf>
    <xf numFmtId="2" fontId="49" fillId="23" borderId="68" xfId="0" applyNumberFormat="1" applyFont="1" applyFill="1" applyBorder="1" applyAlignment="1">
      <alignment horizontal="center" vertical="center" wrapText="1"/>
    </xf>
    <xf numFmtId="0" fontId="21" fillId="0" borderId="25" xfId="1" applyFont="1" applyFill="1" applyBorder="1" applyAlignment="1">
      <alignment horizontal="center" vertical="center" wrapText="1"/>
    </xf>
    <xf numFmtId="0" fontId="25" fillId="0" borderId="25" xfId="1" applyFont="1" applyFill="1" applyBorder="1" applyAlignment="1">
      <alignment horizontal="left" vertical="center" wrapText="1"/>
    </xf>
    <xf numFmtId="0" fontId="21" fillId="0" borderId="25" xfId="1" applyFont="1" applyFill="1" applyBorder="1" applyAlignment="1">
      <alignment horizontal="left" vertical="center" wrapText="1"/>
    </xf>
    <xf numFmtId="0" fontId="52" fillId="0" borderId="27" xfId="1" applyFont="1" applyFill="1" applyBorder="1" applyAlignment="1">
      <alignment horizontal="center" vertical="center" wrapText="1"/>
    </xf>
    <xf numFmtId="0" fontId="60" fillId="30" borderId="30" xfId="0" applyFont="1" applyFill="1" applyBorder="1" applyAlignment="1">
      <alignment horizontal="center" vertical="center" wrapText="1"/>
    </xf>
    <xf numFmtId="0" fontId="60" fillId="0" borderId="30" xfId="0" applyFont="1" applyBorder="1" applyAlignment="1">
      <alignment horizontal="center" vertical="center" wrapText="1"/>
    </xf>
    <xf numFmtId="0" fontId="60" fillId="0" borderId="30" xfId="0" applyFont="1" applyFill="1" applyBorder="1" applyAlignment="1">
      <alignment horizontal="center" vertical="center" wrapText="1"/>
    </xf>
    <xf numFmtId="0" fontId="21" fillId="30" borderId="25" xfId="1" applyFont="1" applyFill="1" applyBorder="1" applyAlignment="1">
      <alignment vertical="center" wrapText="1"/>
    </xf>
    <xf numFmtId="0" fontId="60" fillId="30" borderId="62" xfId="0" applyFont="1" applyFill="1" applyBorder="1" applyAlignment="1">
      <alignment horizontal="center" vertical="center" wrapText="1"/>
    </xf>
    <xf numFmtId="0" fontId="60" fillId="29" borderId="30" xfId="0" applyFont="1" applyFill="1" applyBorder="1" applyAlignment="1">
      <alignment horizontal="center" vertical="center" wrapText="1"/>
    </xf>
    <xf numFmtId="0" fontId="61" fillId="29" borderId="14" xfId="0" applyFont="1" applyFill="1" applyBorder="1" applyAlignment="1" applyProtection="1">
      <alignment horizontal="center" vertical="center" wrapText="1"/>
      <protection locked="0"/>
    </xf>
    <xf numFmtId="0" fontId="60" fillId="0" borderId="62" xfId="0" applyFont="1" applyBorder="1" applyAlignment="1">
      <alignment horizontal="center" vertical="center" wrapText="1"/>
    </xf>
    <xf numFmtId="0" fontId="15" fillId="6" borderId="0" xfId="0" applyFont="1" applyFill="1" applyBorder="1" applyAlignment="1">
      <alignment horizontal="left" vertical="center" wrapText="1"/>
    </xf>
    <xf numFmtId="0" fontId="52" fillId="30" borderId="27" xfId="1" applyFont="1" applyFill="1" applyBorder="1" applyAlignment="1">
      <alignment horizontal="center" vertical="center" wrapText="1"/>
    </xf>
    <xf numFmtId="0" fontId="1" fillId="30" borderId="30" xfId="0" applyFont="1" applyFill="1" applyBorder="1" applyAlignment="1">
      <alignment horizontal="center" vertical="center" wrapText="1"/>
    </xf>
    <xf numFmtId="0" fontId="1" fillId="30" borderId="53" xfId="0" applyFont="1" applyFill="1" applyBorder="1" applyAlignment="1">
      <alignment horizontal="center" vertical="center" wrapText="1"/>
    </xf>
    <xf numFmtId="0" fontId="1" fillId="30" borderId="62" xfId="0" applyFont="1" applyFill="1" applyBorder="1" applyAlignment="1">
      <alignment horizontal="center" vertical="center" wrapText="1"/>
    </xf>
    <xf numFmtId="0" fontId="1" fillId="30" borderId="64" xfId="0" applyFont="1" applyFill="1" applyBorder="1" applyAlignment="1">
      <alignment horizontal="center" vertical="center" wrapText="1"/>
    </xf>
    <xf numFmtId="0" fontId="63" fillId="18" borderId="25" xfId="1" applyFont="1" applyFill="1" applyBorder="1" applyAlignment="1">
      <alignment horizontal="center" vertical="center" wrapText="1"/>
    </xf>
    <xf numFmtId="0" fontId="63" fillId="20" borderId="25" xfId="1" applyFont="1" applyFill="1" applyBorder="1" applyAlignment="1">
      <alignment horizontal="center" vertical="center" wrapText="1"/>
    </xf>
    <xf numFmtId="0" fontId="63" fillId="7" borderId="25" xfId="1" applyFont="1" applyFill="1" applyBorder="1" applyAlignment="1">
      <alignment horizontal="center" vertical="center" wrapText="1"/>
    </xf>
    <xf numFmtId="0" fontId="63" fillId="15" borderId="25" xfId="1" applyFont="1" applyFill="1" applyBorder="1" applyAlignment="1">
      <alignment horizontal="center" vertical="center" wrapText="1"/>
    </xf>
    <xf numFmtId="0" fontId="64" fillId="0" borderId="1" xfId="0" applyFont="1" applyBorder="1" applyAlignment="1">
      <alignment horizontal="center"/>
    </xf>
    <xf numFmtId="0" fontId="64" fillId="0" borderId="1" xfId="0" applyFont="1" applyBorder="1"/>
    <xf numFmtId="0" fontId="63" fillId="17" borderId="25" xfId="1" applyFont="1" applyFill="1" applyBorder="1" applyAlignment="1">
      <alignment horizontal="center" vertical="center" wrapText="1"/>
    </xf>
    <xf numFmtId="0" fontId="63" fillId="16" borderId="25" xfId="1" applyFont="1" applyFill="1" applyBorder="1" applyAlignment="1">
      <alignment horizontal="center" vertical="center" wrapText="1"/>
    </xf>
    <xf numFmtId="0" fontId="63" fillId="9" borderId="25" xfId="1" applyFont="1" applyFill="1" applyBorder="1" applyAlignment="1">
      <alignment horizontal="center" vertical="center" wrapText="1"/>
    </xf>
    <xf numFmtId="0" fontId="63" fillId="19" borderId="25" xfId="1" applyFont="1" applyFill="1" applyBorder="1" applyAlignment="1">
      <alignment horizontal="center" vertical="center" wrapText="1"/>
    </xf>
    <xf numFmtId="0" fontId="62" fillId="0" borderId="36" xfId="0" applyFont="1" applyBorder="1"/>
    <xf numFmtId="0" fontId="65" fillId="14" borderId="1" xfId="0" applyFont="1" applyFill="1" applyBorder="1" applyAlignment="1">
      <alignment horizontal="center"/>
    </xf>
    <xf numFmtId="0" fontId="65" fillId="14" borderId="34" xfId="0" applyFont="1" applyFill="1" applyBorder="1" applyAlignment="1">
      <alignment horizontal="center"/>
    </xf>
    <xf numFmtId="15" fontId="55" fillId="0" borderId="75" xfId="4" applyNumberFormat="1" applyFont="1" applyFill="1" applyBorder="1" applyAlignment="1" applyProtection="1">
      <alignment horizontal="center" vertical="top"/>
      <protection locked="0"/>
    </xf>
    <xf numFmtId="0" fontId="55" fillId="0" borderId="75" xfId="4" applyFont="1" applyFill="1" applyBorder="1" applyAlignment="1" applyProtection="1">
      <alignment horizontal="left" vertical="top" wrapText="1"/>
      <protection locked="0"/>
    </xf>
    <xf numFmtId="0" fontId="56" fillId="26" borderId="72" xfId="3" applyFont="1" applyFill="1" applyBorder="1" applyAlignment="1">
      <alignment horizontal="center" vertical="center"/>
    </xf>
    <xf numFmtId="0" fontId="59" fillId="28" borderId="75" xfId="4" applyFont="1" applyFill="1" applyBorder="1" applyAlignment="1" applyProtection="1">
      <alignment horizontal="center" vertical="center"/>
      <protection locked="0"/>
    </xf>
    <xf numFmtId="0" fontId="55" fillId="0" borderId="75" xfId="4" applyFont="1" applyFill="1" applyBorder="1" applyAlignment="1" applyProtection="1">
      <alignment horizontal="left" vertical="top"/>
      <protection locked="0"/>
    </xf>
    <xf numFmtId="0" fontId="34" fillId="3" borderId="0" xfId="0" applyFont="1" applyFill="1" applyAlignment="1">
      <alignment horizontal="center" vertical="center"/>
    </xf>
    <xf numFmtId="0" fontId="22" fillId="10" borderId="15" xfId="1" applyFont="1" applyFill="1" applyBorder="1" applyAlignment="1">
      <alignment horizontal="left" vertical="center" wrapText="1"/>
    </xf>
    <xf numFmtId="0" fontId="22" fillId="10" borderId="16" xfId="1" applyFont="1" applyFill="1" applyBorder="1" applyAlignment="1">
      <alignment horizontal="left" vertical="center" wrapText="1"/>
    </xf>
    <xf numFmtId="0" fontId="22" fillId="10" borderId="17" xfId="1" applyFont="1" applyFill="1" applyBorder="1" applyAlignment="1">
      <alignment horizontal="left" vertical="center" wrapText="1"/>
    </xf>
    <xf numFmtId="0" fontId="10" fillId="6" borderId="50" xfId="0" applyFont="1" applyFill="1" applyBorder="1" applyAlignment="1">
      <alignment horizontal="left" vertical="top"/>
    </xf>
    <xf numFmtId="0" fontId="10" fillId="6" borderId="51" xfId="0" applyFont="1" applyFill="1" applyBorder="1" applyAlignment="1">
      <alignment horizontal="left" vertical="top"/>
    </xf>
    <xf numFmtId="0" fontId="10" fillId="6" borderId="52" xfId="0" applyFont="1" applyFill="1" applyBorder="1" applyAlignment="1">
      <alignment horizontal="left" vertical="top"/>
    </xf>
    <xf numFmtId="0" fontId="10" fillId="6" borderId="50" xfId="0" applyFont="1" applyFill="1" applyBorder="1" applyAlignment="1">
      <alignment horizontal="left" vertical="top" wrapText="1"/>
    </xf>
    <xf numFmtId="0" fontId="7" fillId="3" borderId="0" xfId="0" applyFont="1" applyFill="1" applyBorder="1" applyAlignment="1">
      <alignment horizontal="center" vertical="center"/>
    </xf>
    <xf numFmtId="0" fontId="15" fillId="6" borderId="0" xfId="0" quotePrefix="1" applyFont="1" applyFill="1" applyBorder="1" applyAlignment="1">
      <alignment horizontal="left" vertical="center" wrapText="1"/>
    </xf>
    <xf numFmtId="0" fontId="15" fillId="6" borderId="0" xfId="0" applyFont="1" applyFill="1" applyBorder="1" applyAlignment="1">
      <alignment horizontal="left" vertical="center" wrapText="1"/>
    </xf>
    <xf numFmtId="0" fontId="16" fillId="7" borderId="39" xfId="0" applyFont="1" applyFill="1" applyBorder="1" applyAlignment="1">
      <alignment horizontal="center" vertical="center"/>
    </xf>
    <xf numFmtId="0" fontId="16" fillId="7" borderId="40" xfId="0" applyFont="1" applyFill="1" applyBorder="1" applyAlignment="1">
      <alignment horizontal="center" vertical="center"/>
    </xf>
    <xf numFmtId="0" fontId="16" fillId="7" borderId="41" xfId="0" applyFont="1" applyFill="1" applyBorder="1" applyAlignment="1">
      <alignment horizontal="center" vertical="center"/>
    </xf>
    <xf numFmtId="0" fontId="16" fillId="7" borderId="45" xfId="0" applyFont="1" applyFill="1" applyBorder="1" applyAlignment="1">
      <alignment horizontal="center" vertical="center"/>
    </xf>
    <xf numFmtId="0" fontId="16" fillId="7" borderId="46" xfId="0" applyFont="1" applyFill="1" applyBorder="1" applyAlignment="1">
      <alignment horizontal="center" vertical="center"/>
    </xf>
    <xf numFmtId="0" fontId="16" fillId="7" borderId="47" xfId="0" applyFont="1" applyFill="1" applyBorder="1" applyAlignment="1">
      <alignment horizontal="center" vertical="center"/>
    </xf>
    <xf numFmtId="0" fontId="15" fillId="6" borderId="42" xfId="0" applyFont="1" applyFill="1" applyBorder="1" applyAlignment="1">
      <alignment horizontal="left" vertical="top" wrapText="1"/>
    </xf>
    <xf numFmtId="0" fontId="15" fillId="6" borderId="43" xfId="0" applyFont="1" applyFill="1" applyBorder="1" applyAlignment="1">
      <alignment horizontal="left" vertical="top" wrapText="1"/>
    </xf>
    <xf numFmtId="0" fontId="15" fillId="6" borderId="44" xfId="0" applyFont="1" applyFill="1" applyBorder="1" applyAlignment="1">
      <alignment horizontal="left" vertical="top" wrapText="1"/>
    </xf>
    <xf numFmtId="0" fontId="15" fillId="6" borderId="42" xfId="0" applyFont="1" applyFill="1" applyBorder="1" applyAlignment="1">
      <alignment horizontal="left" vertical="top"/>
    </xf>
    <xf numFmtId="0" fontId="15" fillId="6" borderId="43" xfId="0" applyFont="1" applyFill="1" applyBorder="1" applyAlignment="1">
      <alignment horizontal="left" vertical="top"/>
    </xf>
    <xf numFmtId="0" fontId="15" fillId="6" borderId="44" xfId="0" applyFont="1" applyFill="1" applyBorder="1" applyAlignment="1">
      <alignment horizontal="left" vertical="top"/>
    </xf>
    <xf numFmtId="0" fontId="0" fillId="6" borderId="56" xfId="0" applyFill="1" applyBorder="1" applyAlignment="1">
      <alignment horizontal="center" wrapText="1"/>
    </xf>
    <xf numFmtId="0" fontId="0" fillId="6" borderId="57" xfId="0" applyFill="1" applyBorder="1" applyAlignment="1">
      <alignment horizontal="center" wrapText="1"/>
    </xf>
    <xf numFmtId="0" fontId="15" fillId="6" borderId="42" xfId="0" applyFont="1" applyFill="1" applyBorder="1" applyAlignment="1">
      <alignment horizontal="center" vertical="top"/>
    </xf>
    <xf numFmtId="0" fontId="15" fillId="6" borderId="43" xfId="0" applyFont="1" applyFill="1" applyBorder="1" applyAlignment="1">
      <alignment horizontal="center" vertical="top"/>
    </xf>
    <xf numFmtId="0" fontId="15" fillId="6" borderId="44" xfId="0" applyFont="1" applyFill="1" applyBorder="1" applyAlignment="1">
      <alignment horizontal="center" vertical="top"/>
    </xf>
    <xf numFmtId="0" fontId="22" fillId="10" borderId="15" xfId="1" applyFont="1" applyFill="1" applyBorder="1" applyAlignment="1">
      <alignment horizontal="center" vertical="center" wrapText="1"/>
    </xf>
    <xf numFmtId="0" fontId="22" fillId="10" borderId="16" xfId="1" applyFont="1" applyFill="1" applyBorder="1" applyAlignment="1">
      <alignment horizontal="center" vertical="center" wrapText="1"/>
    </xf>
    <xf numFmtId="0" fontId="22" fillId="10" borderId="17" xfId="1" applyFont="1" applyFill="1" applyBorder="1" applyAlignment="1">
      <alignment horizontal="center" vertical="center" wrapText="1"/>
    </xf>
    <xf numFmtId="0" fontId="23" fillId="11" borderId="39" xfId="1" applyFont="1" applyFill="1" applyBorder="1" applyAlignment="1">
      <alignment horizontal="center" vertical="center" wrapText="1"/>
    </xf>
    <xf numFmtId="0" fontId="23" fillId="11" borderId="41" xfId="1" applyFont="1" applyFill="1" applyBorder="1" applyAlignment="1">
      <alignment horizontal="center" vertical="center" wrapText="1"/>
    </xf>
    <xf numFmtId="0" fontId="0" fillId="6" borderId="48" xfId="0" applyFill="1" applyBorder="1" applyAlignment="1">
      <alignment horizontal="center" wrapText="1"/>
    </xf>
    <xf numFmtId="0" fontId="0" fillId="6" borderId="49" xfId="0" applyFill="1" applyBorder="1" applyAlignment="1">
      <alignment horizontal="center" wrapText="1"/>
    </xf>
    <xf numFmtId="0" fontId="0" fillId="6" borderId="54" xfId="0" applyFill="1" applyBorder="1" applyAlignment="1">
      <alignment horizontal="center" wrapText="1"/>
    </xf>
    <xf numFmtId="0" fontId="0" fillId="6" borderId="55" xfId="0" applyFill="1" applyBorder="1" applyAlignment="1">
      <alignment horizontal="center" wrapText="1"/>
    </xf>
    <xf numFmtId="0" fontId="53" fillId="7" borderId="15" xfId="1" applyFont="1" applyFill="1" applyBorder="1" applyAlignment="1">
      <alignment horizontal="right" vertical="center" wrapText="1"/>
    </xf>
    <xf numFmtId="0" fontId="25" fillId="7" borderId="16" xfId="1" applyFont="1" applyFill="1" applyBorder="1" applyAlignment="1">
      <alignment horizontal="right" vertical="center" wrapText="1"/>
    </xf>
    <xf numFmtId="0" fontId="0" fillId="6" borderId="68" xfId="0" applyFill="1" applyBorder="1" applyAlignment="1">
      <alignment horizontal="center" wrapText="1"/>
    </xf>
    <xf numFmtId="0" fontId="0" fillId="6" borderId="17" xfId="0" applyFill="1" applyBorder="1" applyAlignment="1">
      <alignment horizontal="center" wrapText="1"/>
    </xf>
    <xf numFmtId="0" fontId="0" fillId="6" borderId="65" xfId="0" applyFill="1" applyBorder="1" applyAlignment="1">
      <alignment horizontal="center" wrapText="1"/>
    </xf>
    <xf numFmtId="0" fontId="0" fillId="6" borderId="66" xfId="0" applyFill="1" applyBorder="1" applyAlignment="1">
      <alignment horizontal="center" wrapText="1"/>
    </xf>
    <xf numFmtId="0" fontId="14" fillId="6" borderId="56" xfId="0" applyFont="1" applyFill="1" applyBorder="1" applyAlignment="1">
      <alignment horizontal="left" vertical="center"/>
    </xf>
    <xf numFmtId="0" fontId="14" fillId="6" borderId="1" xfId="0" applyFont="1" applyFill="1" applyBorder="1" applyAlignment="1">
      <alignment horizontal="left" vertical="center"/>
    </xf>
    <xf numFmtId="0" fontId="16" fillId="7" borderId="15" xfId="0" applyFont="1" applyFill="1" applyBorder="1" applyAlignment="1" applyProtection="1">
      <alignment horizontal="left" vertical="center" wrapText="1"/>
    </xf>
    <xf numFmtId="0" fontId="16" fillId="7" borderId="16" xfId="0" applyFont="1" applyFill="1" applyBorder="1" applyAlignment="1" applyProtection="1">
      <alignment horizontal="left" vertical="center" wrapText="1"/>
    </xf>
    <xf numFmtId="0" fontId="16" fillId="7" borderId="17" xfId="0" applyFont="1" applyFill="1" applyBorder="1" applyAlignment="1" applyProtection="1">
      <alignment horizontal="left" vertical="center" wrapText="1"/>
    </xf>
    <xf numFmtId="0" fontId="44" fillId="2" borderId="45" xfId="0" applyFont="1" applyFill="1" applyBorder="1" applyAlignment="1" applyProtection="1">
      <alignment horizontal="right" vertical="center" wrapText="1"/>
    </xf>
    <xf numFmtId="0" fontId="44" fillId="2" borderId="46" xfId="0" applyFont="1" applyFill="1" applyBorder="1" applyAlignment="1" applyProtection="1">
      <alignment horizontal="right" vertical="center" wrapText="1"/>
    </xf>
    <xf numFmtId="0" fontId="44" fillId="2" borderId="47" xfId="0" applyFont="1" applyFill="1" applyBorder="1" applyAlignment="1" applyProtection="1">
      <alignment horizontal="right" vertical="center" wrapText="1"/>
    </xf>
    <xf numFmtId="0" fontId="50" fillId="2" borderId="61" xfId="0" applyFont="1" applyFill="1" applyBorder="1" applyAlignment="1" applyProtection="1">
      <alignment horizontal="center" vertical="center" wrapText="1"/>
    </xf>
    <xf numFmtId="0" fontId="50" fillId="2" borderId="29" xfId="0" applyFont="1" applyFill="1" applyBorder="1" applyAlignment="1" applyProtection="1">
      <alignment horizontal="center" vertical="center" wrapText="1"/>
    </xf>
    <xf numFmtId="0" fontId="50" fillId="2" borderId="60" xfId="0" applyFont="1" applyFill="1" applyBorder="1" applyAlignment="1" applyProtection="1">
      <alignment horizontal="center" vertical="center" wrapText="1"/>
    </xf>
    <xf numFmtId="0" fontId="44" fillId="2" borderId="53" xfId="0" applyFont="1" applyFill="1" applyBorder="1" applyAlignment="1" applyProtection="1">
      <alignment horizontal="right" vertical="center" wrapText="1"/>
    </xf>
    <xf numFmtId="0" fontId="44" fillId="2" borderId="6" xfId="0" applyFont="1" applyFill="1" applyBorder="1" applyAlignment="1" applyProtection="1">
      <alignment horizontal="right" vertical="center" wrapText="1"/>
    </xf>
    <xf numFmtId="0" fontId="44" fillId="2" borderId="59" xfId="0" applyFont="1" applyFill="1" applyBorder="1" applyAlignment="1" applyProtection="1">
      <alignment horizontal="right" vertical="center" wrapText="1"/>
    </xf>
    <xf numFmtId="0" fontId="47" fillId="2" borderId="53" xfId="0" applyFont="1" applyFill="1" applyBorder="1" applyAlignment="1" applyProtection="1">
      <alignment horizontal="right" vertical="center" wrapText="1"/>
    </xf>
    <xf numFmtId="0" fontId="47" fillId="2" borderId="6" xfId="0" applyFont="1" applyFill="1" applyBorder="1" applyAlignment="1" applyProtection="1">
      <alignment horizontal="right" vertical="center" wrapText="1"/>
    </xf>
    <xf numFmtId="0" fontId="47" fillId="2" borderId="59" xfId="0" applyFont="1" applyFill="1" applyBorder="1" applyAlignment="1" applyProtection="1">
      <alignment horizontal="right" vertical="center" wrapText="1"/>
    </xf>
    <xf numFmtId="0" fontId="14" fillId="6" borderId="56" xfId="0" applyFont="1" applyFill="1" applyBorder="1" applyAlignment="1">
      <alignment horizontal="left" vertical="center" wrapText="1"/>
    </xf>
    <xf numFmtId="0" fontId="43" fillId="7" borderId="15" xfId="0" applyFont="1" applyFill="1" applyBorder="1" applyAlignment="1">
      <alignment horizontal="right" vertical="center"/>
    </xf>
    <xf numFmtId="0" fontId="43" fillId="7" borderId="16" xfId="0" applyFont="1" applyFill="1" applyBorder="1" applyAlignment="1">
      <alignment horizontal="right" vertical="center"/>
    </xf>
    <xf numFmtId="0" fontId="43" fillId="7" borderId="17" xfId="0" applyFont="1" applyFill="1" applyBorder="1" applyAlignment="1">
      <alignment horizontal="right" vertical="center"/>
    </xf>
    <xf numFmtId="0" fontId="10" fillId="6" borderId="56" xfId="0" applyFont="1" applyFill="1" applyBorder="1" applyAlignment="1">
      <alignment horizontal="left" vertical="center"/>
    </xf>
    <xf numFmtId="0" fontId="10" fillId="6" borderId="1" xfId="0" applyFont="1" applyFill="1" applyBorder="1" applyAlignment="1">
      <alignment horizontal="left" vertical="center"/>
    </xf>
    <xf numFmtId="0" fontId="14" fillId="6" borderId="65" xfId="0" applyFont="1" applyFill="1" applyBorder="1" applyAlignment="1">
      <alignment horizontal="left" vertical="center"/>
    </xf>
    <xf numFmtId="0" fontId="14" fillId="6" borderId="67" xfId="0" applyFont="1" applyFill="1" applyBorder="1" applyAlignment="1">
      <alignment horizontal="left" vertical="center"/>
    </xf>
    <xf numFmtId="0" fontId="10" fillId="6" borderId="50" xfId="0" quotePrefix="1" applyFont="1" applyFill="1" applyBorder="1" applyAlignment="1">
      <alignment horizontal="left" vertical="top" wrapText="1"/>
    </xf>
    <xf numFmtId="0" fontId="15" fillId="6" borderId="42" xfId="0" quotePrefix="1" applyFont="1" applyFill="1" applyBorder="1" applyAlignment="1">
      <alignment horizontal="left" vertical="top" wrapText="1"/>
    </xf>
    <xf numFmtId="0" fontId="0" fillId="6" borderId="1" xfId="0" applyFill="1" applyBorder="1" applyAlignment="1">
      <alignment horizontal="center" wrapText="1"/>
    </xf>
    <xf numFmtId="0" fontId="15" fillId="6" borderId="42" xfId="0" quotePrefix="1" applyFont="1" applyFill="1" applyBorder="1" applyAlignment="1">
      <alignment horizontal="left" vertical="top"/>
    </xf>
    <xf numFmtId="0" fontId="14" fillId="6" borderId="5" xfId="0" applyFont="1" applyFill="1" applyBorder="1" applyAlignment="1">
      <alignment horizontal="left" vertical="top" wrapText="1"/>
    </xf>
    <xf numFmtId="0" fontId="14" fillId="6" borderId="6" xfId="0" applyFont="1" applyFill="1" applyBorder="1" applyAlignment="1">
      <alignment horizontal="left" vertical="top" wrapText="1"/>
    </xf>
    <xf numFmtId="0" fontId="14" fillId="6" borderId="7" xfId="0" applyFont="1" applyFill="1" applyBorder="1" applyAlignment="1">
      <alignment horizontal="left" vertical="top" wrapText="1"/>
    </xf>
    <xf numFmtId="0" fontId="15" fillId="6" borderId="1" xfId="0" applyFont="1" applyFill="1" applyBorder="1" applyAlignment="1">
      <alignment horizontal="left" vertical="top"/>
    </xf>
    <xf numFmtId="0" fontId="17" fillId="3" borderId="0" xfId="0" applyFont="1" applyFill="1" applyBorder="1" applyAlignment="1">
      <alignment horizontal="left" vertical="top" wrapText="1"/>
    </xf>
    <xf numFmtId="0" fontId="14" fillId="6" borderId="1" xfId="0" applyFont="1" applyFill="1" applyBorder="1" applyAlignment="1">
      <alignment horizontal="left" vertical="top" wrapText="1"/>
    </xf>
    <xf numFmtId="0" fontId="27" fillId="8" borderId="31" xfId="1" applyFont="1" applyFill="1" applyBorder="1" applyAlignment="1">
      <alignment horizontal="left" vertical="center" wrapText="1"/>
    </xf>
    <xf numFmtId="0" fontId="27" fillId="8" borderId="32" xfId="1" applyFont="1" applyFill="1" applyBorder="1" applyAlignment="1">
      <alignment horizontal="left" vertical="center" wrapText="1"/>
    </xf>
    <xf numFmtId="0" fontId="27" fillId="8" borderId="33" xfId="1" applyFont="1" applyFill="1" applyBorder="1" applyAlignment="1">
      <alignment horizontal="left" vertical="center" wrapText="1"/>
    </xf>
    <xf numFmtId="0" fontId="32" fillId="6" borderId="1" xfId="0" applyFont="1" applyFill="1" applyBorder="1" applyAlignment="1">
      <alignment horizontal="center" vertical="center"/>
    </xf>
    <xf numFmtId="0" fontId="14" fillId="6" borderId="8" xfId="0" applyFont="1" applyFill="1" applyBorder="1" applyAlignment="1">
      <alignment horizontal="left" vertical="top" wrapText="1"/>
    </xf>
    <xf numFmtId="0" fontId="14" fillId="6" borderId="9" xfId="0" applyFont="1" applyFill="1" applyBorder="1" applyAlignment="1">
      <alignment horizontal="left" vertical="top" wrapText="1"/>
    </xf>
    <xf numFmtId="0" fontId="14" fillId="6" borderId="10" xfId="0" applyFont="1" applyFill="1" applyBorder="1" applyAlignment="1">
      <alignment horizontal="left" vertical="top" wrapText="1"/>
    </xf>
    <xf numFmtId="0" fontId="14" fillId="6" borderId="11" xfId="0" applyFont="1" applyFill="1" applyBorder="1" applyAlignment="1">
      <alignment horizontal="left" vertical="top" wrapText="1"/>
    </xf>
    <xf numFmtId="0" fontId="14" fillId="6" borderId="12" xfId="0" applyFont="1" applyFill="1" applyBorder="1" applyAlignment="1">
      <alignment horizontal="left" vertical="top" wrapText="1"/>
    </xf>
    <xf numFmtId="0" fontId="14" fillId="6" borderId="13" xfId="0" applyFont="1" applyFill="1" applyBorder="1" applyAlignment="1">
      <alignment horizontal="left" vertical="top" wrapText="1"/>
    </xf>
  </cellXfs>
  <cellStyles count="5">
    <cellStyle name="Excel Built-in Normal" xfId="3"/>
    <cellStyle name="Hyperlink" xfId="2" builtinId="8"/>
    <cellStyle name="Normal" xfId="0" builtinId="0"/>
    <cellStyle name="Normal 2" xfId="1"/>
    <cellStyle name="Normal 5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0</xdr:row>
      <xdr:rowOff>38100</xdr:rowOff>
    </xdr:from>
    <xdr:to>
      <xdr:col>3</xdr:col>
      <xdr:colOff>922020</xdr:colOff>
      <xdr:row>5</xdr:row>
      <xdr:rowOff>66675</xdr:rowOff>
    </xdr:to>
    <xdr:pic>
      <xdr:nvPicPr>
        <xdr:cNvPr id="2" name="รูปภาพ 1" descr="logo23.png"/>
        <xdr:cNvPicPr>
          <a:picLocks noChangeAspect="1"/>
        </xdr:cNvPicPr>
      </xdr:nvPicPr>
      <xdr:blipFill>
        <a:blip xmlns:r="http://schemas.openxmlformats.org/officeDocument/2006/relationships" r:embed="rId1" cstate="print"/>
        <a:srcRect/>
        <a:stretch>
          <a:fillRect/>
        </a:stretch>
      </xdr:blipFill>
      <xdr:spPr bwMode="auto">
        <a:xfrm>
          <a:off x="883920" y="38100"/>
          <a:ext cx="1310640" cy="85153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xdr:colOff>
          <xdr:row>1</xdr:row>
          <xdr:rowOff>167640</xdr:rowOff>
        </xdr:from>
        <xdr:to>
          <xdr:col>8</xdr:col>
          <xdr:colOff>891540</xdr:colOff>
          <xdr:row>1</xdr:row>
          <xdr:rowOff>388620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rPr>
                <a:t>Add New Employee</a:t>
              </a:r>
            </a:p>
          </xdr:txBody>
        </xdr:sp>
        <xdr:clientData fPrintsWithSheet="0"/>
      </xdr:twoCellAnchor>
    </mc:Choice>
    <mc:Fallback/>
  </mc:AlternateContent>
  <xdr:twoCellAnchor editAs="absolute">
    <xdr:from>
      <xdr:col>0</xdr:col>
      <xdr:colOff>495165</xdr:colOff>
      <xdr:row>0</xdr:row>
      <xdr:rowOff>121920</xdr:rowOff>
    </xdr:from>
    <xdr:to>
      <xdr:col>2</xdr:col>
      <xdr:colOff>198120</xdr:colOff>
      <xdr:row>2</xdr:row>
      <xdr:rowOff>75498</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165" y="121920"/>
          <a:ext cx="1105035" cy="662238"/>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68580</xdr:colOff>
          <xdr:row>4</xdr:row>
          <xdr:rowOff>60960</xdr:rowOff>
        </xdr:from>
        <xdr:to>
          <xdr:col>13</xdr:col>
          <xdr:colOff>1196340</xdr:colOff>
          <xdr:row>4</xdr:row>
          <xdr:rowOff>243840</xdr:rowOff>
        </xdr:to>
        <xdr:sp macro="" textlink="">
          <xdr:nvSpPr>
            <xdr:cNvPr id="17433" name="Button 25" hidden="1">
              <a:extLst>
                <a:ext uri="{63B3BB69-23CF-44E3-9099-C40C66FF867C}">
                  <a14:compatExt spid="_x0000_s17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5</xdr:row>
          <xdr:rowOff>60960</xdr:rowOff>
        </xdr:from>
        <xdr:to>
          <xdr:col>13</xdr:col>
          <xdr:colOff>1196340</xdr:colOff>
          <xdr:row>5</xdr:row>
          <xdr:rowOff>243840</xdr:rowOff>
        </xdr:to>
        <xdr:sp macro="" textlink="">
          <xdr:nvSpPr>
            <xdr:cNvPr id="17434" name="Button 26" hidden="1">
              <a:extLst>
                <a:ext uri="{63B3BB69-23CF-44E3-9099-C40C66FF867C}">
                  <a14:compatExt spid="_x0000_s17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6</xdr:row>
          <xdr:rowOff>60960</xdr:rowOff>
        </xdr:from>
        <xdr:to>
          <xdr:col>13</xdr:col>
          <xdr:colOff>1196340</xdr:colOff>
          <xdr:row>6</xdr:row>
          <xdr:rowOff>243840</xdr:rowOff>
        </xdr:to>
        <xdr:sp macro="" textlink="">
          <xdr:nvSpPr>
            <xdr:cNvPr id="17435" name="Button 27" hidden="1">
              <a:extLst>
                <a:ext uri="{63B3BB69-23CF-44E3-9099-C40C66FF867C}">
                  <a14:compatExt spid="_x0000_s17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7</xdr:row>
          <xdr:rowOff>60960</xdr:rowOff>
        </xdr:from>
        <xdr:to>
          <xdr:col>13</xdr:col>
          <xdr:colOff>1196340</xdr:colOff>
          <xdr:row>7</xdr:row>
          <xdr:rowOff>243840</xdr:rowOff>
        </xdr:to>
        <xdr:sp macro="" textlink="">
          <xdr:nvSpPr>
            <xdr:cNvPr id="17436" name="Button 28" hidden="1">
              <a:extLst>
                <a:ext uri="{63B3BB69-23CF-44E3-9099-C40C66FF867C}">
                  <a14:compatExt spid="_x0000_s17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8</xdr:row>
          <xdr:rowOff>60960</xdr:rowOff>
        </xdr:from>
        <xdr:to>
          <xdr:col>13</xdr:col>
          <xdr:colOff>1196340</xdr:colOff>
          <xdr:row>8</xdr:row>
          <xdr:rowOff>243840</xdr:rowOff>
        </xdr:to>
        <xdr:sp macro="" textlink="">
          <xdr:nvSpPr>
            <xdr:cNvPr id="17437" name="Button 29" hidden="1">
              <a:extLst>
                <a:ext uri="{63B3BB69-23CF-44E3-9099-C40C66FF867C}">
                  <a14:compatExt spid="_x0000_s17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9</xdr:row>
          <xdr:rowOff>60960</xdr:rowOff>
        </xdr:from>
        <xdr:to>
          <xdr:col>13</xdr:col>
          <xdr:colOff>1196340</xdr:colOff>
          <xdr:row>9</xdr:row>
          <xdr:rowOff>243840</xdr:rowOff>
        </xdr:to>
        <xdr:sp macro="" textlink="">
          <xdr:nvSpPr>
            <xdr:cNvPr id="17438" name="Button 30" hidden="1">
              <a:extLst>
                <a:ext uri="{63B3BB69-23CF-44E3-9099-C40C66FF867C}">
                  <a14:compatExt spid="_x0000_s17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10</xdr:row>
          <xdr:rowOff>60960</xdr:rowOff>
        </xdr:from>
        <xdr:to>
          <xdr:col>13</xdr:col>
          <xdr:colOff>1196340</xdr:colOff>
          <xdr:row>10</xdr:row>
          <xdr:rowOff>243840</xdr:rowOff>
        </xdr:to>
        <xdr:sp macro="" textlink="">
          <xdr:nvSpPr>
            <xdr:cNvPr id="17439" name="Button 31" hidden="1">
              <a:extLst>
                <a:ext uri="{63B3BB69-23CF-44E3-9099-C40C66FF867C}">
                  <a14:compatExt spid="_x0000_s17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11</xdr:row>
          <xdr:rowOff>60960</xdr:rowOff>
        </xdr:from>
        <xdr:to>
          <xdr:col>13</xdr:col>
          <xdr:colOff>1196340</xdr:colOff>
          <xdr:row>11</xdr:row>
          <xdr:rowOff>243840</xdr:rowOff>
        </xdr:to>
        <xdr:sp macro="" textlink="">
          <xdr:nvSpPr>
            <xdr:cNvPr id="17440" name="Button 32" hidden="1">
              <a:extLst>
                <a:ext uri="{63B3BB69-23CF-44E3-9099-C40C66FF867C}">
                  <a14:compatExt spid="_x0000_s17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12</xdr:row>
          <xdr:rowOff>60960</xdr:rowOff>
        </xdr:from>
        <xdr:to>
          <xdr:col>13</xdr:col>
          <xdr:colOff>1196340</xdr:colOff>
          <xdr:row>12</xdr:row>
          <xdr:rowOff>243840</xdr:rowOff>
        </xdr:to>
        <xdr:sp macro="" textlink="">
          <xdr:nvSpPr>
            <xdr:cNvPr id="17441" name="Button 33" hidden="1">
              <a:extLst>
                <a:ext uri="{63B3BB69-23CF-44E3-9099-C40C66FF867C}">
                  <a14:compatExt spid="_x0000_s17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13</xdr:row>
          <xdr:rowOff>60960</xdr:rowOff>
        </xdr:from>
        <xdr:to>
          <xdr:col>13</xdr:col>
          <xdr:colOff>1196340</xdr:colOff>
          <xdr:row>13</xdr:row>
          <xdr:rowOff>243840</xdr:rowOff>
        </xdr:to>
        <xdr:sp macro="" textlink="">
          <xdr:nvSpPr>
            <xdr:cNvPr id="17442" name="Button 34" hidden="1">
              <a:extLst>
                <a:ext uri="{63B3BB69-23CF-44E3-9099-C40C66FF867C}">
                  <a14:compatExt spid="_x0000_s17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14</xdr:row>
          <xdr:rowOff>60960</xdr:rowOff>
        </xdr:from>
        <xdr:to>
          <xdr:col>13</xdr:col>
          <xdr:colOff>1196340</xdr:colOff>
          <xdr:row>14</xdr:row>
          <xdr:rowOff>243840</xdr:rowOff>
        </xdr:to>
        <xdr:sp macro="" textlink="">
          <xdr:nvSpPr>
            <xdr:cNvPr id="17443" name="Button 35" hidden="1">
              <a:extLst>
                <a:ext uri="{63B3BB69-23CF-44E3-9099-C40C66FF867C}">
                  <a14:compatExt spid="_x0000_s17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15</xdr:row>
          <xdr:rowOff>60960</xdr:rowOff>
        </xdr:from>
        <xdr:to>
          <xdr:col>13</xdr:col>
          <xdr:colOff>1196340</xdr:colOff>
          <xdr:row>15</xdr:row>
          <xdr:rowOff>243840</xdr:rowOff>
        </xdr:to>
        <xdr:sp macro="" textlink="">
          <xdr:nvSpPr>
            <xdr:cNvPr id="17444" name="Button 36" hidden="1">
              <a:extLst>
                <a:ext uri="{63B3BB69-23CF-44E3-9099-C40C66FF867C}">
                  <a14:compatExt spid="_x0000_s17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16</xdr:row>
          <xdr:rowOff>60960</xdr:rowOff>
        </xdr:from>
        <xdr:to>
          <xdr:col>13</xdr:col>
          <xdr:colOff>1196340</xdr:colOff>
          <xdr:row>16</xdr:row>
          <xdr:rowOff>243840</xdr:rowOff>
        </xdr:to>
        <xdr:sp macro="" textlink="">
          <xdr:nvSpPr>
            <xdr:cNvPr id="17445" name="Button 37" hidden="1">
              <a:extLst>
                <a:ext uri="{63B3BB69-23CF-44E3-9099-C40C66FF867C}">
                  <a14:compatExt spid="_x0000_s17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17</xdr:row>
          <xdr:rowOff>60960</xdr:rowOff>
        </xdr:from>
        <xdr:to>
          <xdr:col>13</xdr:col>
          <xdr:colOff>1196340</xdr:colOff>
          <xdr:row>17</xdr:row>
          <xdr:rowOff>243840</xdr:rowOff>
        </xdr:to>
        <xdr:sp macro="" textlink="">
          <xdr:nvSpPr>
            <xdr:cNvPr id="17446" name="Button 38" hidden="1">
              <a:extLst>
                <a:ext uri="{63B3BB69-23CF-44E3-9099-C40C66FF867C}">
                  <a14:compatExt spid="_x0000_s17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18</xdr:row>
          <xdr:rowOff>60960</xdr:rowOff>
        </xdr:from>
        <xdr:to>
          <xdr:col>13</xdr:col>
          <xdr:colOff>1196340</xdr:colOff>
          <xdr:row>18</xdr:row>
          <xdr:rowOff>243840</xdr:rowOff>
        </xdr:to>
        <xdr:sp macro="" textlink="">
          <xdr:nvSpPr>
            <xdr:cNvPr id="17447" name="Button 39" hidden="1">
              <a:extLst>
                <a:ext uri="{63B3BB69-23CF-44E3-9099-C40C66FF867C}">
                  <a14:compatExt spid="_x0000_s17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19</xdr:row>
          <xdr:rowOff>60960</xdr:rowOff>
        </xdr:from>
        <xdr:to>
          <xdr:col>13</xdr:col>
          <xdr:colOff>1196340</xdr:colOff>
          <xdr:row>19</xdr:row>
          <xdr:rowOff>243840</xdr:rowOff>
        </xdr:to>
        <xdr:sp macro="" textlink="">
          <xdr:nvSpPr>
            <xdr:cNvPr id="17448" name="Button 40" hidden="1">
              <a:extLst>
                <a:ext uri="{63B3BB69-23CF-44E3-9099-C40C66FF867C}">
                  <a14:compatExt spid="_x0000_s17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20</xdr:row>
          <xdr:rowOff>60960</xdr:rowOff>
        </xdr:from>
        <xdr:to>
          <xdr:col>13</xdr:col>
          <xdr:colOff>1196340</xdr:colOff>
          <xdr:row>20</xdr:row>
          <xdr:rowOff>243840</xdr:rowOff>
        </xdr:to>
        <xdr:sp macro="" textlink="">
          <xdr:nvSpPr>
            <xdr:cNvPr id="17449" name="Button 41" hidden="1">
              <a:extLst>
                <a:ext uri="{63B3BB69-23CF-44E3-9099-C40C66FF867C}">
                  <a14:compatExt spid="_x0000_s17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21</xdr:row>
          <xdr:rowOff>60960</xdr:rowOff>
        </xdr:from>
        <xdr:to>
          <xdr:col>13</xdr:col>
          <xdr:colOff>1196340</xdr:colOff>
          <xdr:row>21</xdr:row>
          <xdr:rowOff>243840</xdr:rowOff>
        </xdr:to>
        <xdr:sp macro="" textlink="">
          <xdr:nvSpPr>
            <xdr:cNvPr id="17450" name="Button 42" hidden="1">
              <a:extLst>
                <a:ext uri="{63B3BB69-23CF-44E3-9099-C40C66FF867C}">
                  <a14:compatExt spid="_x0000_s17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22</xdr:row>
          <xdr:rowOff>60960</xdr:rowOff>
        </xdr:from>
        <xdr:to>
          <xdr:col>13</xdr:col>
          <xdr:colOff>1196340</xdr:colOff>
          <xdr:row>22</xdr:row>
          <xdr:rowOff>243840</xdr:rowOff>
        </xdr:to>
        <xdr:sp macro="" textlink="">
          <xdr:nvSpPr>
            <xdr:cNvPr id="17451" name="Button 43" hidden="1">
              <a:extLst>
                <a:ext uri="{63B3BB69-23CF-44E3-9099-C40C66FF867C}">
                  <a14:compatExt spid="_x0000_s17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23</xdr:row>
          <xdr:rowOff>60960</xdr:rowOff>
        </xdr:from>
        <xdr:to>
          <xdr:col>13</xdr:col>
          <xdr:colOff>1196340</xdr:colOff>
          <xdr:row>23</xdr:row>
          <xdr:rowOff>243840</xdr:rowOff>
        </xdr:to>
        <xdr:sp macro="" textlink="">
          <xdr:nvSpPr>
            <xdr:cNvPr id="17452" name="Button 44" hidden="1">
              <a:extLst>
                <a:ext uri="{63B3BB69-23CF-44E3-9099-C40C66FF867C}">
                  <a14:compatExt spid="_x0000_s17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24</xdr:row>
          <xdr:rowOff>60960</xdr:rowOff>
        </xdr:from>
        <xdr:to>
          <xdr:col>13</xdr:col>
          <xdr:colOff>1196340</xdr:colOff>
          <xdr:row>24</xdr:row>
          <xdr:rowOff>243840</xdr:rowOff>
        </xdr:to>
        <xdr:sp macro="" textlink="">
          <xdr:nvSpPr>
            <xdr:cNvPr id="17453" name="Button 45" hidden="1">
              <a:extLst>
                <a:ext uri="{63B3BB69-23CF-44E3-9099-C40C66FF867C}">
                  <a14:compatExt spid="_x0000_s17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25</xdr:row>
          <xdr:rowOff>60960</xdr:rowOff>
        </xdr:from>
        <xdr:to>
          <xdr:col>13</xdr:col>
          <xdr:colOff>1196340</xdr:colOff>
          <xdr:row>25</xdr:row>
          <xdr:rowOff>243840</xdr:rowOff>
        </xdr:to>
        <xdr:sp macro="" textlink="">
          <xdr:nvSpPr>
            <xdr:cNvPr id="17454" name="Button 46" hidden="1">
              <a:extLst>
                <a:ext uri="{63B3BB69-23CF-44E3-9099-C40C66FF867C}">
                  <a14:compatExt spid="_x0000_s17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68580</xdr:colOff>
          <xdr:row>26</xdr:row>
          <xdr:rowOff>60960</xdr:rowOff>
        </xdr:from>
        <xdr:to>
          <xdr:col>13</xdr:col>
          <xdr:colOff>1196340</xdr:colOff>
          <xdr:row>26</xdr:row>
          <xdr:rowOff>243840</xdr:rowOff>
        </xdr:to>
        <xdr:sp macro="" textlink="">
          <xdr:nvSpPr>
            <xdr:cNvPr id="17455" name="Button 47" hidden="1">
              <a:extLst>
                <a:ext uri="{63B3BB69-23CF-44E3-9099-C40C66FF867C}">
                  <a14:compatExt spid="_x0000_s17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8009" cy="824652"/>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85724</xdr:colOff>
      <xdr:row>0</xdr:row>
      <xdr:rowOff>120228</xdr:rowOff>
    </xdr:from>
    <xdr:to>
      <xdr:col>2</xdr:col>
      <xdr:colOff>861060</xdr:colOff>
      <xdr:row>3</xdr:row>
      <xdr:rowOff>99060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4" y="120228"/>
          <a:ext cx="1377316" cy="824652"/>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85724</xdr:colOff>
      <xdr:row>0</xdr:row>
      <xdr:rowOff>120228</xdr:rowOff>
    </xdr:from>
    <xdr:to>
      <xdr:col>1</xdr:col>
      <xdr:colOff>1105593</xdr:colOff>
      <xdr:row>2</xdr:row>
      <xdr:rowOff>259080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 y="120228"/>
          <a:ext cx="1377316" cy="8246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omments" Target="../comments24.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68"/>
  <sheetViews>
    <sheetView workbookViewId="0">
      <selection activeCell="C15" sqref="C15:E15"/>
    </sheetView>
  </sheetViews>
  <sheetFormatPr defaultColWidth="9" defaultRowHeight="13.2" x14ac:dyDescent="0.25"/>
  <cols>
    <col min="1" max="1" width="9" style="167"/>
    <col min="2" max="2" width="11.44140625" style="167" customWidth="1"/>
    <col min="3" max="3" width="2.109375" style="167" customWidth="1"/>
    <col min="4" max="4" width="13.88671875" style="167" customWidth="1"/>
    <col min="5" max="5" width="8.44140625" style="167" customWidth="1"/>
    <col min="6" max="6" width="40.5546875" style="167" customWidth="1"/>
    <col min="7" max="7" width="5" style="167" customWidth="1"/>
    <col min="8" max="8" width="7" style="167" customWidth="1"/>
    <col min="9" max="9" width="11.88671875" style="167" customWidth="1"/>
    <col min="10" max="10" width="9" style="167"/>
    <col min="11" max="16384" width="9" style="157"/>
  </cols>
  <sheetData>
    <row r="1" spans="1:10" s="146" customFormat="1" x14ac:dyDescent="0.25">
      <c r="A1" s="140"/>
      <c r="B1" s="141"/>
      <c r="C1" s="142"/>
      <c r="D1" s="142"/>
      <c r="E1" s="143"/>
      <c r="F1" s="144"/>
      <c r="G1" s="144"/>
      <c r="H1" s="144"/>
      <c r="I1" s="144"/>
      <c r="J1" s="145"/>
    </row>
    <row r="2" spans="1:10" s="146" customFormat="1" ht="12.75" customHeight="1" x14ac:dyDescent="0.25">
      <c r="A2" s="224" t="s">
        <v>180</v>
      </c>
      <c r="B2" s="224"/>
      <c r="C2" s="224"/>
      <c r="D2" s="224"/>
      <c r="E2" s="224"/>
      <c r="F2" s="224"/>
      <c r="G2" s="224"/>
      <c r="H2" s="224"/>
      <c r="I2" s="224"/>
      <c r="J2" s="224"/>
    </row>
    <row r="3" spans="1:10" s="146" customFormat="1" ht="12.75" customHeight="1" x14ac:dyDescent="0.25">
      <c r="A3" s="224"/>
      <c r="B3" s="224"/>
      <c r="C3" s="224"/>
      <c r="D3" s="224"/>
      <c r="E3" s="224"/>
      <c r="F3" s="224"/>
      <c r="G3" s="224"/>
      <c r="H3" s="224"/>
      <c r="I3" s="224"/>
      <c r="J3" s="224"/>
    </row>
    <row r="4" spans="1:10" s="146" customFormat="1" x14ac:dyDescent="0.25">
      <c r="A4" s="147"/>
      <c r="B4" s="148"/>
      <c r="C4" s="149"/>
      <c r="D4" s="149"/>
      <c r="E4" s="149"/>
      <c r="F4" s="150"/>
      <c r="G4" s="150"/>
      <c r="H4" s="150"/>
      <c r="I4" s="150"/>
      <c r="J4" s="151"/>
    </row>
    <row r="5" spans="1:10" s="146" customFormat="1" x14ac:dyDescent="0.25">
      <c r="A5" s="147"/>
      <c r="B5" s="148"/>
      <c r="C5" s="149"/>
      <c r="D5" s="152"/>
      <c r="E5" s="152"/>
      <c r="F5" s="152"/>
      <c r="G5" s="152"/>
      <c r="H5" s="152"/>
      <c r="I5" s="150"/>
      <c r="J5" s="151"/>
    </row>
    <row r="6" spans="1:10" s="146" customFormat="1" x14ac:dyDescent="0.25">
      <c r="A6" s="147"/>
      <c r="B6" s="148"/>
      <c r="C6" s="149"/>
      <c r="D6" s="149"/>
      <c r="E6" s="149"/>
      <c r="F6" s="150"/>
      <c r="G6" s="150"/>
      <c r="H6" s="150"/>
      <c r="I6" s="150"/>
      <c r="J6" s="151"/>
    </row>
    <row r="7" spans="1:10" x14ac:dyDescent="0.25">
      <c r="A7" s="153"/>
      <c r="B7" s="154" t="s">
        <v>181</v>
      </c>
      <c r="C7" s="155"/>
      <c r="D7" s="155"/>
      <c r="E7" s="155"/>
      <c r="F7" s="155"/>
      <c r="G7" s="155"/>
      <c r="H7" s="155"/>
      <c r="I7" s="154"/>
      <c r="J7" s="156"/>
    </row>
    <row r="8" spans="1:10" x14ac:dyDescent="0.25">
      <c r="A8" s="158"/>
      <c r="B8" s="159" t="s">
        <v>182</v>
      </c>
      <c r="C8" s="225" t="s">
        <v>183</v>
      </c>
      <c r="D8" s="225"/>
      <c r="E8" s="225"/>
      <c r="F8" s="225" t="s">
        <v>184</v>
      </c>
      <c r="G8" s="225"/>
      <c r="H8" s="225"/>
      <c r="I8" s="225"/>
      <c r="J8" s="160"/>
    </row>
    <row r="9" spans="1:10" x14ac:dyDescent="0.25">
      <c r="A9" s="158"/>
      <c r="B9" s="161"/>
      <c r="C9" s="222"/>
      <c r="D9" s="222"/>
      <c r="E9" s="222"/>
      <c r="F9" s="226"/>
      <c r="G9" s="226"/>
      <c r="H9" s="226"/>
      <c r="I9" s="226"/>
      <c r="J9" s="160"/>
    </row>
    <row r="10" spans="1:10" ht="12.75" customHeight="1" x14ac:dyDescent="0.25">
      <c r="A10" s="158"/>
      <c r="B10" s="161"/>
      <c r="C10" s="222"/>
      <c r="D10" s="222"/>
      <c r="E10" s="222"/>
      <c r="F10" s="223"/>
      <c r="G10" s="223"/>
      <c r="H10" s="223"/>
      <c r="I10" s="223"/>
      <c r="J10" s="160"/>
    </row>
    <row r="11" spans="1:10" ht="12.75" customHeight="1" x14ac:dyDescent="0.25">
      <c r="A11" s="158"/>
      <c r="B11" s="161"/>
      <c r="C11" s="222"/>
      <c r="D11" s="222"/>
      <c r="E11" s="222"/>
      <c r="F11" s="223"/>
      <c r="G11" s="223"/>
      <c r="H11" s="223"/>
      <c r="I11" s="223"/>
      <c r="J11" s="160"/>
    </row>
    <row r="12" spans="1:10" x14ac:dyDescent="0.25">
      <c r="A12" s="158"/>
      <c r="B12" s="161"/>
      <c r="C12" s="222"/>
      <c r="D12" s="222"/>
      <c r="E12" s="222"/>
      <c r="F12" s="226"/>
      <c r="G12" s="226"/>
      <c r="H12" s="226"/>
      <c r="I12" s="226"/>
      <c r="J12" s="160"/>
    </row>
    <row r="13" spans="1:10" x14ac:dyDescent="0.25">
      <c r="A13" s="158"/>
      <c r="B13" s="161"/>
      <c r="C13" s="222"/>
      <c r="D13" s="222"/>
      <c r="E13" s="222"/>
      <c r="F13" s="226"/>
      <c r="G13" s="226"/>
      <c r="H13" s="226"/>
      <c r="I13" s="226"/>
      <c r="J13" s="160"/>
    </row>
    <row r="14" spans="1:10" x14ac:dyDescent="0.25">
      <c r="A14" s="158"/>
      <c r="B14" s="161"/>
      <c r="C14" s="222"/>
      <c r="D14" s="222"/>
      <c r="E14" s="222"/>
      <c r="F14" s="226"/>
      <c r="G14" s="226"/>
      <c r="H14" s="226"/>
      <c r="I14" s="226"/>
      <c r="J14" s="160"/>
    </row>
    <row r="15" spans="1:10" x14ac:dyDescent="0.25">
      <c r="A15" s="158"/>
      <c r="B15" s="161"/>
      <c r="C15" s="222"/>
      <c r="D15" s="222"/>
      <c r="E15" s="222"/>
      <c r="F15" s="226"/>
      <c r="G15" s="226"/>
      <c r="H15" s="226"/>
      <c r="I15" s="226"/>
      <c r="J15" s="160"/>
    </row>
    <row r="16" spans="1:10" x14ac:dyDescent="0.25">
      <c r="A16" s="158"/>
      <c r="B16" s="161"/>
      <c r="C16" s="222"/>
      <c r="D16" s="222"/>
      <c r="E16" s="222"/>
      <c r="F16" s="226"/>
      <c r="G16" s="226"/>
      <c r="H16" s="226"/>
      <c r="I16" s="226"/>
      <c r="J16" s="160"/>
    </row>
    <row r="17" spans="1:10" x14ac:dyDescent="0.25">
      <c r="A17" s="158"/>
      <c r="B17" s="161"/>
      <c r="C17" s="222"/>
      <c r="D17" s="222"/>
      <c r="E17" s="222"/>
      <c r="F17" s="226"/>
      <c r="G17" s="226"/>
      <c r="H17" s="226"/>
      <c r="I17" s="226"/>
      <c r="J17" s="160"/>
    </row>
    <row r="18" spans="1:10" x14ac:dyDescent="0.25">
      <c r="A18" s="158"/>
      <c r="B18" s="161"/>
      <c r="C18" s="222"/>
      <c r="D18" s="222"/>
      <c r="E18" s="222"/>
      <c r="F18" s="226"/>
      <c r="G18" s="226"/>
      <c r="H18" s="226"/>
      <c r="I18" s="226"/>
      <c r="J18" s="160"/>
    </row>
    <row r="19" spans="1:10" x14ac:dyDescent="0.25">
      <c r="A19" s="158"/>
      <c r="B19" s="161"/>
      <c r="C19" s="222"/>
      <c r="D19" s="222"/>
      <c r="E19" s="222"/>
      <c r="F19" s="226"/>
      <c r="G19" s="226"/>
      <c r="H19" s="226"/>
      <c r="I19" s="226"/>
      <c r="J19" s="160"/>
    </row>
    <row r="20" spans="1:10" x14ac:dyDescent="0.25">
      <c r="A20" s="158"/>
      <c r="B20" s="161"/>
      <c r="C20" s="222"/>
      <c r="D20" s="222"/>
      <c r="E20" s="222"/>
      <c r="F20" s="226"/>
      <c r="G20" s="226"/>
      <c r="H20" s="226"/>
      <c r="I20" s="226"/>
      <c r="J20" s="160"/>
    </row>
    <row r="21" spans="1:10" x14ac:dyDescent="0.25">
      <c r="A21" s="158"/>
      <c r="B21" s="161"/>
      <c r="C21" s="222"/>
      <c r="D21" s="222"/>
      <c r="E21" s="222"/>
      <c r="F21" s="226"/>
      <c r="G21" s="226"/>
      <c r="H21" s="226"/>
      <c r="I21" s="226"/>
      <c r="J21" s="160"/>
    </row>
    <row r="22" spans="1:10" x14ac:dyDescent="0.25">
      <c r="A22" s="158"/>
      <c r="B22" s="161"/>
      <c r="C22" s="222"/>
      <c r="D22" s="222"/>
      <c r="E22" s="222"/>
      <c r="F22" s="226"/>
      <c r="G22" s="226"/>
      <c r="H22" s="226"/>
      <c r="I22" s="226"/>
      <c r="J22" s="160"/>
    </row>
    <row r="23" spans="1:10" x14ac:dyDescent="0.25">
      <c r="A23" s="158"/>
      <c r="B23" s="161"/>
      <c r="C23" s="222"/>
      <c r="D23" s="222"/>
      <c r="E23" s="222"/>
      <c r="F23" s="226"/>
      <c r="G23" s="226"/>
      <c r="H23" s="226"/>
      <c r="I23" s="226"/>
      <c r="J23" s="160"/>
    </row>
    <row r="24" spans="1:10" x14ac:dyDescent="0.25">
      <c r="A24" s="158"/>
      <c r="B24" s="161"/>
      <c r="C24" s="222"/>
      <c r="D24" s="222"/>
      <c r="E24" s="222"/>
      <c r="F24" s="226"/>
      <c r="G24" s="226"/>
      <c r="H24" s="226"/>
      <c r="I24" s="226"/>
      <c r="J24" s="160"/>
    </row>
    <row r="25" spans="1:10" x14ac:dyDescent="0.25">
      <c r="A25" s="158"/>
      <c r="B25" s="161"/>
      <c r="C25" s="222"/>
      <c r="D25" s="222"/>
      <c r="E25" s="222"/>
      <c r="F25" s="226"/>
      <c r="G25" s="226"/>
      <c r="H25" s="226"/>
      <c r="I25" s="226"/>
      <c r="J25" s="160"/>
    </row>
    <row r="26" spans="1:10" x14ac:dyDescent="0.25">
      <c r="A26" s="158"/>
      <c r="B26" s="161"/>
      <c r="C26" s="222"/>
      <c r="D26" s="222"/>
      <c r="E26" s="222"/>
      <c r="F26" s="226"/>
      <c r="G26" s="226"/>
      <c r="H26" s="226"/>
      <c r="I26" s="226"/>
      <c r="J26" s="160"/>
    </row>
    <row r="27" spans="1:10" x14ac:dyDescent="0.25">
      <c r="A27" s="158"/>
      <c r="B27" s="161"/>
      <c r="C27" s="222"/>
      <c r="D27" s="222"/>
      <c r="E27" s="222"/>
      <c r="F27" s="226"/>
      <c r="G27" s="226"/>
      <c r="H27" s="226"/>
      <c r="I27" s="226"/>
      <c r="J27" s="160"/>
    </row>
    <row r="28" spans="1:10" x14ac:dyDescent="0.25">
      <c r="A28" s="158"/>
      <c r="B28" s="161"/>
      <c r="C28" s="222"/>
      <c r="D28" s="222"/>
      <c r="E28" s="222"/>
      <c r="F28" s="226"/>
      <c r="G28" s="226"/>
      <c r="H28" s="226"/>
      <c r="I28" s="226"/>
      <c r="J28" s="160"/>
    </row>
    <row r="29" spans="1:10" x14ac:dyDescent="0.25">
      <c r="A29" s="158"/>
      <c r="B29" s="161"/>
      <c r="C29" s="222"/>
      <c r="D29" s="222"/>
      <c r="E29" s="222"/>
      <c r="F29" s="226"/>
      <c r="G29" s="226"/>
      <c r="H29" s="226"/>
      <c r="I29" s="226"/>
      <c r="J29" s="160"/>
    </row>
    <row r="30" spans="1:10" x14ac:dyDescent="0.25">
      <c r="A30" s="158"/>
      <c r="B30" s="161"/>
      <c r="C30" s="222"/>
      <c r="D30" s="222"/>
      <c r="E30" s="222"/>
      <c r="F30" s="226"/>
      <c r="G30" s="226"/>
      <c r="H30" s="226"/>
      <c r="I30" s="226"/>
      <c r="J30" s="160"/>
    </row>
    <row r="31" spans="1:10" x14ac:dyDescent="0.25">
      <c r="A31" s="158"/>
      <c r="B31" s="161"/>
      <c r="C31" s="222"/>
      <c r="D31" s="222"/>
      <c r="E31" s="222"/>
      <c r="F31" s="226"/>
      <c r="G31" s="226"/>
      <c r="H31" s="226"/>
      <c r="I31" s="226"/>
      <c r="J31" s="160"/>
    </row>
    <row r="32" spans="1:10" x14ac:dyDescent="0.25">
      <c r="A32" s="158"/>
      <c r="B32" s="161"/>
      <c r="C32" s="222"/>
      <c r="D32" s="222"/>
      <c r="E32" s="222"/>
      <c r="F32" s="226"/>
      <c r="G32" s="226"/>
      <c r="H32" s="226"/>
      <c r="I32" s="226"/>
      <c r="J32" s="160"/>
    </row>
    <row r="33" spans="1:10" x14ac:dyDescent="0.25">
      <c r="A33" s="158"/>
      <c r="B33" s="161"/>
      <c r="C33" s="222"/>
      <c r="D33" s="222"/>
      <c r="E33" s="222"/>
      <c r="F33" s="226"/>
      <c r="G33" s="226"/>
      <c r="H33" s="226"/>
      <c r="I33" s="226"/>
      <c r="J33" s="160"/>
    </row>
    <row r="34" spans="1:10" x14ac:dyDescent="0.25">
      <c r="A34" s="158"/>
      <c r="B34" s="161"/>
      <c r="C34" s="222"/>
      <c r="D34" s="222"/>
      <c r="E34" s="222"/>
      <c r="F34" s="226"/>
      <c r="G34" s="226"/>
      <c r="H34" s="226"/>
      <c r="I34" s="226"/>
      <c r="J34" s="160"/>
    </row>
    <row r="35" spans="1:10" x14ac:dyDescent="0.25">
      <c r="A35" s="158"/>
      <c r="B35" s="161"/>
      <c r="C35" s="222"/>
      <c r="D35" s="222"/>
      <c r="E35" s="222"/>
      <c r="F35" s="226"/>
      <c r="G35" s="226"/>
      <c r="H35" s="226"/>
      <c r="I35" s="226"/>
      <c r="J35" s="160"/>
    </row>
    <row r="36" spans="1:10" x14ac:dyDescent="0.25">
      <c r="A36" s="158"/>
      <c r="B36" s="161"/>
      <c r="C36" s="222"/>
      <c r="D36" s="222"/>
      <c r="E36" s="222"/>
      <c r="F36" s="226"/>
      <c r="G36" s="226"/>
      <c r="H36" s="226"/>
      <c r="I36" s="226"/>
      <c r="J36" s="160"/>
    </row>
    <row r="37" spans="1:10" x14ac:dyDescent="0.25">
      <c r="A37" s="158"/>
      <c r="B37" s="161"/>
      <c r="C37" s="222"/>
      <c r="D37" s="222"/>
      <c r="E37" s="222"/>
      <c r="F37" s="226"/>
      <c r="G37" s="226"/>
      <c r="H37" s="226"/>
      <c r="I37" s="226"/>
      <c r="J37" s="160"/>
    </row>
    <row r="38" spans="1:10" x14ac:dyDescent="0.25">
      <c r="A38" s="158"/>
      <c r="B38" s="161"/>
      <c r="C38" s="222"/>
      <c r="D38" s="222"/>
      <c r="E38" s="222"/>
      <c r="F38" s="226"/>
      <c r="G38" s="226"/>
      <c r="H38" s="226"/>
      <c r="I38" s="226"/>
      <c r="J38" s="160"/>
    </row>
    <row r="39" spans="1:10" x14ac:dyDescent="0.25">
      <c r="A39" s="158"/>
      <c r="B39" s="161"/>
      <c r="C39" s="222"/>
      <c r="D39" s="222"/>
      <c r="E39" s="222"/>
      <c r="F39" s="226"/>
      <c r="G39" s="226"/>
      <c r="H39" s="226"/>
      <c r="I39" s="226"/>
      <c r="J39" s="160"/>
    </row>
    <row r="40" spans="1:10" x14ac:dyDescent="0.25">
      <c r="A40" s="158"/>
      <c r="B40" s="161"/>
      <c r="C40" s="222"/>
      <c r="D40" s="222"/>
      <c r="E40" s="222"/>
      <c r="F40" s="226"/>
      <c r="G40" s="226"/>
      <c r="H40" s="226"/>
      <c r="I40" s="226"/>
      <c r="J40" s="160"/>
    </row>
    <row r="41" spans="1:10" x14ac:dyDescent="0.25">
      <c r="A41" s="158"/>
      <c r="B41" s="161"/>
      <c r="C41" s="222"/>
      <c r="D41" s="222"/>
      <c r="E41" s="222"/>
      <c r="F41" s="226"/>
      <c r="G41" s="226"/>
      <c r="H41" s="226"/>
      <c r="I41" s="226"/>
      <c r="J41" s="160"/>
    </row>
    <row r="42" spans="1:10" x14ac:dyDescent="0.25">
      <c r="A42" s="158"/>
      <c r="B42" s="161"/>
      <c r="C42" s="222"/>
      <c r="D42" s="222"/>
      <c r="E42" s="222"/>
      <c r="F42" s="226"/>
      <c r="G42" s="226"/>
      <c r="H42" s="226"/>
      <c r="I42" s="226"/>
      <c r="J42" s="160"/>
    </row>
    <row r="43" spans="1:10" x14ac:dyDescent="0.25">
      <c r="A43" s="158"/>
      <c r="B43" s="161"/>
      <c r="C43" s="222"/>
      <c r="D43" s="222"/>
      <c r="E43" s="222"/>
      <c r="F43" s="226"/>
      <c r="G43" s="226"/>
      <c r="H43" s="226"/>
      <c r="I43" s="226"/>
      <c r="J43" s="160"/>
    </row>
    <row r="44" spans="1:10" x14ac:dyDescent="0.25">
      <c r="A44" s="158"/>
      <c r="B44" s="161"/>
      <c r="C44" s="222"/>
      <c r="D44" s="222"/>
      <c r="E44" s="222"/>
      <c r="F44" s="226"/>
      <c r="G44" s="226"/>
      <c r="H44" s="226"/>
      <c r="I44" s="226"/>
      <c r="J44" s="160"/>
    </row>
    <row r="45" spans="1:10" x14ac:dyDescent="0.25">
      <c r="A45" s="158"/>
      <c r="B45" s="161"/>
      <c r="C45" s="222"/>
      <c r="D45" s="222"/>
      <c r="E45" s="222"/>
      <c r="F45" s="226"/>
      <c r="G45" s="226"/>
      <c r="H45" s="226"/>
      <c r="I45" s="226"/>
      <c r="J45" s="160"/>
    </row>
    <row r="46" spans="1:10" x14ac:dyDescent="0.25">
      <c r="A46" s="158"/>
      <c r="B46" s="161"/>
      <c r="C46" s="222"/>
      <c r="D46" s="222"/>
      <c r="E46" s="222"/>
      <c r="F46" s="226"/>
      <c r="G46" s="226"/>
      <c r="H46" s="226"/>
      <c r="I46" s="226"/>
      <c r="J46" s="160"/>
    </row>
    <row r="47" spans="1:10" x14ac:dyDescent="0.25">
      <c r="A47" s="158"/>
      <c r="B47" s="161"/>
      <c r="C47" s="222"/>
      <c r="D47" s="222"/>
      <c r="E47" s="222"/>
      <c r="F47" s="226"/>
      <c r="G47" s="226"/>
      <c r="H47" s="226"/>
      <c r="I47" s="226"/>
      <c r="J47" s="160"/>
    </row>
    <row r="48" spans="1:10" x14ac:dyDescent="0.25">
      <c r="A48" s="158"/>
      <c r="B48" s="161"/>
      <c r="C48" s="222"/>
      <c r="D48" s="222"/>
      <c r="E48" s="222"/>
      <c r="F48" s="226"/>
      <c r="G48" s="226"/>
      <c r="H48" s="226"/>
      <c r="I48" s="226"/>
      <c r="J48" s="160"/>
    </row>
    <row r="49" spans="1:10" ht="12.75" customHeight="1" x14ac:dyDescent="0.25">
      <c r="A49" s="158"/>
      <c r="B49" s="162"/>
      <c r="C49" s="162"/>
      <c r="D49" s="162"/>
      <c r="E49" s="162"/>
      <c r="F49" s="162"/>
      <c r="G49" s="162"/>
      <c r="H49" s="162"/>
      <c r="I49" s="162"/>
      <c r="J49" s="160"/>
    </row>
    <row r="50" spans="1:10" x14ac:dyDescent="0.25">
      <c r="A50" s="158"/>
      <c r="B50" s="163"/>
      <c r="C50" s="163"/>
      <c r="D50" s="163"/>
      <c r="E50" s="163"/>
      <c r="F50" s="163"/>
      <c r="G50" s="163"/>
      <c r="H50" s="163"/>
      <c r="I50" s="163"/>
      <c r="J50" s="160"/>
    </row>
    <row r="51" spans="1:10" ht="12.75" customHeight="1" x14ac:dyDescent="0.25">
      <c r="A51" s="158"/>
      <c r="B51" s="163"/>
      <c r="C51" s="163"/>
      <c r="D51" s="163"/>
      <c r="E51" s="163"/>
      <c r="F51" s="163"/>
      <c r="G51" s="163"/>
      <c r="H51" s="163"/>
      <c r="I51" s="163"/>
      <c r="J51" s="160"/>
    </row>
    <row r="52" spans="1:10" ht="12.75" customHeight="1" x14ac:dyDescent="0.25">
      <c r="A52" s="164"/>
      <c r="B52" s="165"/>
      <c r="C52" s="165"/>
      <c r="D52" s="165"/>
      <c r="E52" s="165"/>
      <c r="F52" s="165"/>
      <c r="G52" s="165"/>
      <c r="H52" s="165"/>
      <c r="I52" s="165"/>
      <c r="J52" s="166"/>
    </row>
    <row r="53" spans="1:10" ht="12.75" customHeight="1" x14ac:dyDescent="0.25"/>
    <row r="54" spans="1:10" ht="12.75" customHeight="1" x14ac:dyDescent="0.25"/>
    <row r="55" spans="1:10" ht="12.75" customHeight="1" x14ac:dyDescent="0.25"/>
    <row r="56" spans="1:10" ht="12.75" customHeight="1" x14ac:dyDescent="0.25"/>
    <row r="57" spans="1:10" ht="12.75" customHeight="1" x14ac:dyDescent="0.25"/>
    <row r="58" spans="1:10" ht="12.75" customHeight="1" x14ac:dyDescent="0.25"/>
    <row r="59" spans="1:10" ht="12.75" customHeight="1" x14ac:dyDescent="0.25"/>
    <row r="60" spans="1:10" ht="12.75" customHeight="1" x14ac:dyDescent="0.25"/>
    <row r="61" spans="1:10" ht="12.75" customHeight="1" x14ac:dyDescent="0.25"/>
    <row r="62" spans="1:10" ht="12.75" customHeight="1" x14ac:dyDescent="0.25"/>
    <row r="63" spans="1:10" ht="12.75" customHeight="1" x14ac:dyDescent="0.25"/>
    <row r="64" spans="1:10" ht="12.75" customHeight="1" x14ac:dyDescent="0.25"/>
    <row r="65" s="157" customFormat="1" x14ac:dyDescent="0.25"/>
    <row r="66" s="157" customFormat="1" x14ac:dyDescent="0.25"/>
    <row r="67" s="157" customFormat="1" x14ac:dyDescent="0.25"/>
    <row r="68" s="157" customFormat="1" x14ac:dyDescent="0.25"/>
  </sheetData>
  <mergeCells count="83">
    <mergeCell ref="C47:E47"/>
    <mergeCell ref="F47:I47"/>
    <mergeCell ref="C48:E48"/>
    <mergeCell ref="F48:I48"/>
    <mergeCell ref="C44:E44"/>
    <mergeCell ref="F44:I44"/>
    <mergeCell ref="C45:E45"/>
    <mergeCell ref="F45:I45"/>
    <mergeCell ref="C46:E46"/>
    <mergeCell ref="F46:I46"/>
    <mergeCell ref="C41:E41"/>
    <mergeCell ref="F41:I41"/>
    <mergeCell ref="C42:E42"/>
    <mergeCell ref="F42:I42"/>
    <mergeCell ref="C43:E43"/>
    <mergeCell ref="F43:I43"/>
    <mergeCell ref="C38:E38"/>
    <mergeCell ref="F38:I38"/>
    <mergeCell ref="C39:E39"/>
    <mergeCell ref="F39:I39"/>
    <mergeCell ref="C40:E40"/>
    <mergeCell ref="F40:I40"/>
    <mergeCell ref="C35:E35"/>
    <mergeCell ref="F35:I35"/>
    <mergeCell ref="C36:E36"/>
    <mergeCell ref="F36:I36"/>
    <mergeCell ref="C37:E37"/>
    <mergeCell ref="F37:I37"/>
    <mergeCell ref="C32:E32"/>
    <mergeCell ref="F32:I32"/>
    <mergeCell ref="C33:E33"/>
    <mergeCell ref="F33:I33"/>
    <mergeCell ref="C34:E34"/>
    <mergeCell ref="F34:I34"/>
    <mergeCell ref="C29:E29"/>
    <mergeCell ref="F29:I29"/>
    <mergeCell ref="C30:E30"/>
    <mergeCell ref="F30:I30"/>
    <mergeCell ref="C31:E31"/>
    <mergeCell ref="F31:I31"/>
    <mergeCell ref="C26:E26"/>
    <mergeCell ref="F26:I26"/>
    <mergeCell ref="C27:E27"/>
    <mergeCell ref="F27:I27"/>
    <mergeCell ref="C28:E28"/>
    <mergeCell ref="F28:I28"/>
    <mergeCell ref="C23:E23"/>
    <mergeCell ref="F23:I23"/>
    <mergeCell ref="C24:E24"/>
    <mergeCell ref="F24:I24"/>
    <mergeCell ref="C25:E25"/>
    <mergeCell ref="F25:I25"/>
    <mergeCell ref="C20:E20"/>
    <mergeCell ref="F20:I20"/>
    <mergeCell ref="C21:E21"/>
    <mergeCell ref="F21:I21"/>
    <mergeCell ref="C22:E22"/>
    <mergeCell ref="F22:I22"/>
    <mergeCell ref="C17:E17"/>
    <mergeCell ref="F17:I17"/>
    <mergeCell ref="C18:E18"/>
    <mergeCell ref="F18:I18"/>
    <mergeCell ref="C19:E19"/>
    <mergeCell ref="F19:I19"/>
    <mergeCell ref="C14:E14"/>
    <mergeCell ref="F14:I14"/>
    <mergeCell ref="C15:E15"/>
    <mergeCell ref="F15:I15"/>
    <mergeCell ref="C16:E16"/>
    <mergeCell ref="F16:I16"/>
    <mergeCell ref="C11:E11"/>
    <mergeCell ref="F11:I11"/>
    <mergeCell ref="C12:E12"/>
    <mergeCell ref="F12:I12"/>
    <mergeCell ref="C13:E13"/>
    <mergeCell ref="F13:I13"/>
    <mergeCell ref="C10:E10"/>
    <mergeCell ref="F10:I10"/>
    <mergeCell ref="A2:J3"/>
    <mergeCell ref="C8:E8"/>
    <mergeCell ref="F8:I8"/>
    <mergeCell ref="C9:E9"/>
    <mergeCell ref="F9:I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U147"/>
  <sheetViews>
    <sheetView workbookViewId="0">
      <selection activeCell="B16" sqref="B16"/>
    </sheetView>
  </sheetViews>
  <sheetFormatPr defaultRowHeight="14.4" x14ac:dyDescent="0.3"/>
  <cols>
    <col min="1" max="1" width="8.88671875" style="86"/>
    <col min="2" max="2" width="11.5546875" style="86" customWidth="1"/>
    <col min="3" max="3" width="48" style="86" customWidth="1"/>
    <col min="4" max="4" width="14.33203125" style="86" customWidth="1"/>
    <col min="5" max="5" width="14.33203125" style="138" customWidth="1"/>
    <col min="6" max="6" width="14.33203125" style="86" customWidth="1"/>
    <col min="7" max="9" width="14.33203125" customWidth="1"/>
    <col min="10" max="13" width="6.6640625" customWidth="1"/>
    <col min="14" max="14" width="18.109375" customWidth="1"/>
  </cols>
  <sheetData>
    <row r="1" spans="1:21" ht="15" thickBot="1" x14ac:dyDescent="0.35">
      <c r="A1" s="85"/>
      <c r="B1" s="85"/>
      <c r="C1" s="85"/>
      <c r="D1" s="85"/>
      <c r="E1" s="134"/>
      <c r="F1" s="85"/>
      <c r="G1" s="84"/>
      <c r="H1" s="84"/>
      <c r="I1" s="84"/>
      <c r="J1" s="84"/>
      <c r="K1" s="84"/>
      <c r="L1" s="84"/>
      <c r="M1" s="84"/>
      <c r="N1" s="84"/>
      <c r="O1" s="84"/>
      <c r="P1" s="84"/>
      <c r="Q1" s="84"/>
      <c r="R1" s="84"/>
      <c r="S1" s="84"/>
      <c r="T1" s="84"/>
      <c r="U1" s="84"/>
    </row>
    <row r="2" spans="1:21" ht="40.799999999999997" customHeight="1" thickBot="1" x14ac:dyDescent="0.35">
      <c r="A2" s="85"/>
      <c r="B2" s="85"/>
      <c r="C2" s="227" t="s">
        <v>178</v>
      </c>
      <c r="D2" s="227"/>
      <c r="E2" s="227"/>
      <c r="F2" s="227"/>
      <c r="G2" s="227"/>
      <c r="H2" s="103"/>
      <c r="I2" s="87"/>
      <c r="J2" s="84"/>
      <c r="K2" s="84"/>
      <c r="L2" s="84"/>
      <c r="M2" s="84"/>
      <c r="N2" s="84"/>
      <c r="O2" s="84"/>
      <c r="P2" s="84"/>
      <c r="Q2" s="84"/>
      <c r="R2" s="84"/>
      <c r="S2" s="84"/>
      <c r="T2" s="84"/>
      <c r="U2" s="84"/>
    </row>
    <row r="3" spans="1:21" ht="15" thickBot="1" x14ac:dyDescent="0.35">
      <c r="A3" s="85"/>
      <c r="B3" s="85"/>
      <c r="C3" s="85"/>
      <c r="D3" s="85"/>
      <c r="E3" s="134"/>
      <c r="F3" s="85"/>
      <c r="G3" s="84"/>
      <c r="H3" s="84"/>
      <c r="I3" s="84"/>
      <c r="J3" s="84" t="s">
        <v>146</v>
      </c>
      <c r="K3" s="84"/>
      <c r="L3" s="84"/>
      <c r="M3" s="84"/>
      <c r="N3" s="84"/>
      <c r="O3" s="84"/>
      <c r="P3" s="84"/>
      <c r="Q3" s="84"/>
      <c r="R3" s="84"/>
      <c r="S3" s="84"/>
      <c r="T3" s="84"/>
      <c r="U3" s="84"/>
    </row>
    <row r="4" spans="1:21" s="90" customFormat="1" ht="20.399999999999999" customHeight="1" x14ac:dyDescent="0.3">
      <c r="A4" s="88" t="s">
        <v>11</v>
      </c>
      <c r="B4" s="102" t="s">
        <v>124</v>
      </c>
      <c r="C4" s="89" t="s">
        <v>13</v>
      </c>
      <c r="D4" s="89" t="s">
        <v>12</v>
      </c>
      <c r="E4" s="135" t="s">
        <v>148</v>
      </c>
      <c r="F4" s="89" t="s">
        <v>125</v>
      </c>
      <c r="G4" s="89" t="s">
        <v>126</v>
      </c>
      <c r="H4" s="89" t="s">
        <v>9</v>
      </c>
      <c r="I4" s="89" t="s">
        <v>92</v>
      </c>
      <c r="J4" s="89"/>
      <c r="K4" s="89"/>
      <c r="L4" s="89"/>
      <c r="M4" s="89"/>
      <c r="N4" s="89" t="s">
        <v>127</v>
      </c>
      <c r="O4" s="89"/>
      <c r="P4" s="89"/>
      <c r="Q4" s="89"/>
      <c r="R4" s="89"/>
      <c r="S4" s="89"/>
      <c r="T4" s="89"/>
      <c r="U4" s="89"/>
    </row>
    <row r="5" spans="1:21" s="109" customFormat="1" ht="21" customHeight="1" x14ac:dyDescent="0.3">
      <c r="A5" s="107">
        <v>1</v>
      </c>
      <c r="B5" s="110" t="s">
        <v>185</v>
      </c>
      <c r="C5" s="111" t="str">
        <f>IF('PTP_ENG-1'!C5&lt;&gt;"",'PTP_ENG-1'!C5,"-")</f>
        <v>Siphong Tanavongchinda</v>
      </c>
      <c r="D5" s="107" t="str">
        <f>IF('PTP_ENG-1'!I5&lt;&gt;"",'PTP_ENG-1'!I5,"-")</f>
        <v>Engineer</v>
      </c>
      <c r="E5" s="136" t="str">
        <f>IF('PTP_ENG-1'!C7&lt;&gt;"",'PTP_ENG-1'!C7,"-")</f>
        <v>CTO</v>
      </c>
      <c r="F5" s="107" t="str">
        <f>IF('PTP_ENG-1'!F7&lt;&gt;"",'PTP_ENG-1'!F7,"-")</f>
        <v>6 ปี 5 เดือน</v>
      </c>
      <c r="G5" s="107">
        <f>IF('PTP_ENG-1'!I7&lt;&gt;"",'PTP_ENG-1'!I7,"-")</f>
        <v>1</v>
      </c>
      <c r="H5" s="107" t="str">
        <f>IF('PTP_ENG-1'!C9&lt;&gt;"",'PTP_ENG-1'!C9,"-")</f>
        <v>Lead</v>
      </c>
      <c r="I5" s="107"/>
      <c r="J5" s="107"/>
      <c r="K5" s="107"/>
      <c r="L5" s="107"/>
      <c r="M5" s="107"/>
      <c r="N5" s="108"/>
      <c r="O5" s="107"/>
      <c r="P5" s="107"/>
      <c r="Q5" s="107"/>
      <c r="R5" s="107"/>
      <c r="S5" s="107"/>
      <c r="T5" s="107"/>
      <c r="U5" s="107"/>
    </row>
    <row r="6" spans="1:21" s="109" customFormat="1" ht="21" customHeight="1" x14ac:dyDescent="0.3">
      <c r="A6" s="107">
        <v>2</v>
      </c>
      <c r="B6" s="110" t="s">
        <v>186</v>
      </c>
      <c r="C6" s="111" t="str">
        <f>IF('PTP_ENG-2'!C5&lt;&gt;"",'PTP_ENG-2'!C5,"-")</f>
        <v>Ladda Udomsiripinij</v>
      </c>
      <c r="D6" s="107" t="str">
        <f>IF('PTP_ENG-2'!I5&lt;&gt;"",'PTP_ENG-2'!I5,"-")</f>
        <v>Engineer</v>
      </c>
      <c r="E6" s="136" t="str">
        <f>IF('PTP_ENG-2'!C7&lt;&gt;"",'PTP_ENG-2'!C7,"-")</f>
        <v>Development Manager</v>
      </c>
      <c r="F6" s="107" t="str">
        <f>IF('PTP_ENG-2'!F7&lt;&gt;"",'PTP_ENG-2'!F7,"-")</f>
        <v>5 ปี 6 เดือน</v>
      </c>
      <c r="G6" s="107">
        <f>IF('PTP_ENG-2'!I7&lt;&gt;"",'PTP_ENG-2'!I7,"-")</f>
        <v>1</v>
      </c>
      <c r="H6" s="107" t="str">
        <f>IF('PTP_ENG-2'!C9&lt;&gt;"",'PTP_ENG-2'!C9,"-")</f>
        <v>Lead</v>
      </c>
      <c r="I6" s="107"/>
      <c r="J6" s="107"/>
      <c r="K6" s="107"/>
      <c r="L6" s="107"/>
      <c r="M6" s="107"/>
      <c r="N6" s="108"/>
      <c r="O6" s="107"/>
      <c r="P6" s="107"/>
      <c r="Q6" s="107"/>
      <c r="R6" s="107"/>
      <c r="S6" s="107"/>
      <c r="T6" s="107"/>
      <c r="U6" s="107"/>
    </row>
    <row r="7" spans="1:21" s="109" customFormat="1" ht="21" customHeight="1" x14ac:dyDescent="0.3">
      <c r="A7" s="107">
        <v>3</v>
      </c>
      <c r="B7" s="110" t="s">
        <v>187</v>
      </c>
      <c r="C7" s="111" t="str">
        <f>IF('PTP_ENG-3'!C5&lt;&gt;"",'PTP_ENG-3'!C5,"-")</f>
        <v>Wisit Inthima</v>
      </c>
      <c r="D7" s="107" t="str">
        <f>IF('PTP_ENG-3'!I5&lt;&gt;"",'PTP_ENG-3'!I5,"-")</f>
        <v>Engineer</v>
      </c>
      <c r="E7" s="136" t="str">
        <f>IF('PTP_ENG-3'!C7&lt;&gt;"",'PTP_ENG-3'!C7,"-")</f>
        <v>Senior Engineer</v>
      </c>
      <c r="F7" s="107" t="str">
        <f>IF('PTP_ENG-3'!F7&lt;&gt;"",'PTP_ENG-3'!F7,"-")</f>
        <v>4ปี 9 เดือน</v>
      </c>
      <c r="G7" s="107">
        <f>IF('PTP_ENG-3'!I7&lt;&gt;"",'PTP_ENG-3'!I7,"-")</f>
        <v>1</v>
      </c>
      <c r="H7" s="107" t="str">
        <f>IF('PTP_ENG-3'!C9&lt;&gt;"",'PTP_ENG-3'!C9,"-")</f>
        <v>Senior</v>
      </c>
      <c r="I7" s="107"/>
      <c r="J7" s="107"/>
      <c r="K7" s="107"/>
      <c r="L7" s="107"/>
      <c r="M7" s="107"/>
      <c r="N7" s="108"/>
      <c r="O7" s="107"/>
      <c r="P7" s="107"/>
      <c r="Q7" s="107"/>
      <c r="R7" s="107"/>
      <c r="S7" s="107"/>
      <c r="T7" s="107"/>
      <c r="U7" s="107"/>
    </row>
    <row r="8" spans="1:21" s="109" customFormat="1" ht="21" customHeight="1" x14ac:dyDescent="0.3">
      <c r="A8" s="107">
        <v>4</v>
      </c>
      <c r="B8" s="110" t="s">
        <v>188</v>
      </c>
      <c r="C8" s="111" t="str">
        <f>IF('PTP_ENG-4'!C5&lt;&gt;"",'PTP_ENG-4'!C5,"-")</f>
        <v>Tuanrit Sahapaet</v>
      </c>
      <c r="D8" s="107" t="str">
        <f>IF('PTP_ENG-4'!I5&lt;&gt;"",'PTP_ENG-4'!I5,"-")</f>
        <v>Engineer</v>
      </c>
      <c r="E8" s="136" t="str">
        <f>IF('PTP_ENG-4'!C7&lt;&gt;"",'PTP_ENG-4'!C7,"-")</f>
        <v xml:space="preserve">Software Engineer </v>
      </c>
      <c r="F8" s="107" t="str">
        <f>IF('PTP_ENG-4'!F7&lt;&gt;"",'PTP_ENG-4'!F7,"-")</f>
        <v xml:space="preserve">4 ปี 1 เดือน </v>
      </c>
      <c r="G8" s="107">
        <f>IF('PTP_ENG-4'!I7&lt;&gt;"",'PTP_ENG-4'!I7,"-")</f>
        <v>1</v>
      </c>
      <c r="H8" s="107" t="str">
        <f>IF('PTP_ENG-4'!C9&lt;&gt;"",'PTP_ENG-4'!C9,"-")</f>
        <v>Senior</v>
      </c>
      <c r="I8" s="107"/>
      <c r="J8" s="107"/>
      <c r="K8" s="107"/>
      <c r="L8" s="107"/>
      <c r="M8" s="107"/>
      <c r="N8" s="108"/>
      <c r="O8" s="107"/>
      <c r="P8" s="107"/>
      <c r="Q8" s="107"/>
      <c r="R8" s="107"/>
      <c r="S8" s="107"/>
      <c r="T8" s="107"/>
      <c r="U8" s="107"/>
    </row>
    <row r="9" spans="1:21" s="109" customFormat="1" ht="21" customHeight="1" x14ac:dyDescent="0.3">
      <c r="A9" s="107">
        <v>5</v>
      </c>
      <c r="B9" s="110" t="s">
        <v>189</v>
      </c>
      <c r="C9" s="111" t="str">
        <f>IF('PTP_ENG-5'!C5&lt;&gt;"",'PTP_ENG-5'!C5,"-")</f>
        <v>Kornthip Nakchamratsri</v>
      </c>
      <c r="D9" s="107" t="str">
        <f>IF('PTP_ENG-5'!I5&lt;&gt;"",'PTP_ENG-5'!I5,"-")</f>
        <v>Engineer</v>
      </c>
      <c r="E9" s="136" t="str">
        <f>IF('PTP_ENG-5'!C7&lt;&gt;"",'PTP_ENG-5'!C7,"-")</f>
        <v>Software Engineer</v>
      </c>
      <c r="F9" s="107" t="str">
        <f>IF('PTP_ENG-5'!F7&lt;&gt;"",'PTP_ENG-5'!F7,"-")</f>
        <v>4 ปี  1 เดือน</v>
      </c>
      <c r="G9" s="107">
        <f>IF('PTP_ENG-5'!I7&lt;&gt;"",'PTP_ENG-5'!I7,"-")</f>
        <v>1</v>
      </c>
      <c r="H9" s="107" t="str">
        <f>IF('PTP_ENG-5'!C9&lt;&gt;"",'PTP_ENG-5'!C9,"-")</f>
        <v>Senior</v>
      </c>
      <c r="I9" s="107"/>
      <c r="J9" s="107"/>
      <c r="K9" s="107"/>
      <c r="L9" s="107"/>
      <c r="M9" s="107"/>
      <c r="N9" s="108"/>
      <c r="O9" s="107"/>
      <c r="P9" s="107"/>
      <c r="Q9" s="107"/>
      <c r="R9" s="107"/>
      <c r="S9" s="107"/>
      <c r="T9" s="107"/>
      <c r="U9" s="107"/>
    </row>
    <row r="10" spans="1:21" s="109" customFormat="1" ht="21" customHeight="1" x14ac:dyDescent="0.3">
      <c r="A10" s="107">
        <v>6</v>
      </c>
      <c r="B10" s="110" t="s">
        <v>190</v>
      </c>
      <c r="C10" s="111" t="str">
        <f>IF('PTP_ENG-6'!C5&lt;&gt;"",'PTP_ENG-6'!C5,"-")</f>
        <v>Ekachai Limpisoot</v>
      </c>
      <c r="D10" s="107" t="str">
        <f>IF('PTP_ENG-6'!I5&lt;&gt;"",'PTP_ENG-6'!I5,"-")</f>
        <v>Engineer</v>
      </c>
      <c r="E10" s="136" t="str">
        <f>IF('PTP_ENG-6'!C7&lt;&gt;"",'PTP_ENG-6'!C7,"-")</f>
        <v>Mobile Developer</v>
      </c>
      <c r="F10" s="107">
        <f>IF('PTP_ENG-6'!F7&lt;&gt;"",'PTP_ENG-6'!F7,"-")</f>
        <v>5</v>
      </c>
      <c r="G10" s="107">
        <f>IF('PTP_ENG-6'!I7&lt;&gt;"",'PTP_ENG-6'!I7,"-")</f>
        <v>1</v>
      </c>
      <c r="H10" s="107" t="str">
        <f>IF('PTP_ENG-6'!C9&lt;&gt;"",'PTP_ENG-6'!C9,"-")</f>
        <v>Senior</v>
      </c>
      <c r="I10" s="107"/>
      <c r="J10" s="107"/>
      <c r="K10" s="107"/>
      <c r="L10" s="107"/>
      <c r="M10" s="107"/>
      <c r="N10" s="108"/>
      <c r="O10" s="107"/>
      <c r="P10" s="107"/>
      <c r="Q10" s="107"/>
      <c r="R10" s="107"/>
      <c r="S10" s="107"/>
      <c r="T10" s="107"/>
      <c r="U10" s="107"/>
    </row>
    <row r="11" spans="1:21" s="109" customFormat="1" ht="21" customHeight="1" x14ac:dyDescent="0.3">
      <c r="A11" s="107">
        <v>7</v>
      </c>
      <c r="B11" s="110" t="s">
        <v>191</v>
      </c>
      <c r="C11" s="111" t="str">
        <f>IF('PTP_ENG-7'!C5&lt;&gt;"",'PTP_ENG-7'!C5,"-")</f>
        <v>Pasit Nusso</v>
      </c>
      <c r="D11" s="107" t="str">
        <f>IF('PTP_ENG-7'!I5&lt;&gt;"",'PTP_ENG-7'!I5,"-")</f>
        <v>Engineer</v>
      </c>
      <c r="E11" s="136" t="str">
        <f>IF('PTP_ENG-7'!C7&lt;&gt;"",'PTP_ENG-7'!C7,"-")</f>
        <v>Project Manager</v>
      </c>
      <c r="F11" s="107">
        <f>IF('PTP_ENG-7'!F7&lt;&gt;"",'PTP_ENG-7'!F7,"-")</f>
        <v>8</v>
      </c>
      <c r="G11" s="107">
        <f>IF('PTP_ENG-7'!I7&lt;&gt;"",'PTP_ENG-7'!I7,"-")</f>
        <v>1</v>
      </c>
      <c r="H11" s="107" t="str">
        <f>IF('PTP_ENG-7'!C9&lt;&gt;"",'PTP_ENG-7'!C9,"-")</f>
        <v>Senior Staff Specialist</v>
      </c>
      <c r="I11" s="107"/>
      <c r="J11" s="107"/>
      <c r="K11" s="107"/>
      <c r="L11" s="107"/>
      <c r="M11" s="107"/>
      <c r="N11" s="108"/>
      <c r="O11" s="107"/>
      <c r="P11" s="107"/>
      <c r="Q11" s="107"/>
      <c r="R11" s="107"/>
      <c r="S11" s="107"/>
      <c r="T11" s="107"/>
      <c r="U11" s="107"/>
    </row>
    <row r="12" spans="1:21" s="109" customFormat="1" ht="21" customHeight="1" x14ac:dyDescent="0.3">
      <c r="A12" s="107">
        <v>8</v>
      </c>
      <c r="B12" s="110" t="s">
        <v>192</v>
      </c>
      <c r="C12" s="111" t="str">
        <f>IF('PTP_ENG-8'!C5&lt;&gt;"",'PTP_ENG-8'!C5,"-")</f>
        <v>Nutdanai Tippanontakul</v>
      </c>
      <c r="D12" s="107" t="str">
        <f>IF('PTP_ENG-8'!I5&lt;&gt;"",'PTP_ENG-8'!I5,"-")</f>
        <v>Engineer</v>
      </c>
      <c r="E12" s="136" t="str">
        <f>IF('PTP_ENG-8'!C7&lt;&gt;"",'PTP_ENG-8'!C7,"-")</f>
        <v>Senior Engineer</v>
      </c>
      <c r="F12" s="107" t="str">
        <f>IF('PTP_ENG-8'!F7&lt;&gt;"",'PTP_ENG-8'!F7,"-")</f>
        <v>3 ปี 8 เดือน</v>
      </c>
      <c r="G12" s="107">
        <f>IF('PTP_ENG-8'!I7&lt;&gt;"",'PTP_ENG-8'!I7,"-")</f>
        <v>1</v>
      </c>
      <c r="H12" s="107" t="str">
        <f>IF('PTP_ENG-8'!C9&lt;&gt;"",'PTP_ENG-8'!C9,"-")</f>
        <v>Lead</v>
      </c>
      <c r="I12" s="107"/>
      <c r="J12" s="107"/>
      <c r="K12" s="107"/>
      <c r="L12" s="107"/>
      <c r="M12" s="107"/>
      <c r="N12" s="108"/>
      <c r="O12" s="107"/>
      <c r="P12" s="107"/>
      <c r="Q12" s="107"/>
      <c r="R12" s="107"/>
      <c r="S12" s="107"/>
      <c r="T12" s="107"/>
      <c r="U12" s="107"/>
    </row>
    <row r="13" spans="1:21" s="109" customFormat="1" ht="21" customHeight="1" x14ac:dyDescent="0.3">
      <c r="A13" s="107">
        <v>9</v>
      </c>
      <c r="B13" s="110" t="s">
        <v>193</v>
      </c>
      <c r="C13" s="111" t="str">
        <f>IF('PTP_ENG-9'!C5&lt;&gt;"",'PTP_ENG-9'!C5,"-")</f>
        <v>Pirunrung Saeaui</v>
      </c>
      <c r="D13" s="107" t="str">
        <f>IF('PTP_ENG-9'!I5&lt;&gt;"",'PTP_ENG-9'!I5,"-")</f>
        <v>Engineer</v>
      </c>
      <c r="E13" s="136" t="str">
        <f>IF('PTP_ENG-9'!C7&lt;&gt;"",'PTP_ENG-9'!C7,"-")</f>
        <v>Software Engineer</v>
      </c>
      <c r="F13" s="107" t="str">
        <f>IF('PTP_ENG-9'!F7&lt;&gt;"",'PTP_ENG-9'!F7,"-")</f>
        <v>2ปี10เดือน</v>
      </c>
      <c r="G13" s="107">
        <f>IF('PTP_ENG-9'!I7&lt;&gt;"",'PTP_ENG-9'!I7,"-")</f>
        <v>1</v>
      </c>
      <c r="H13" s="107" t="str">
        <f>IF('PTP_ENG-9'!C9&lt;&gt;"",'PTP_ENG-9'!C9,"-")</f>
        <v>Intermediate</v>
      </c>
      <c r="I13" s="107"/>
      <c r="J13" s="107"/>
      <c r="K13" s="107"/>
      <c r="L13" s="107"/>
      <c r="M13" s="107"/>
      <c r="N13" s="108"/>
      <c r="O13" s="107"/>
      <c r="P13" s="107"/>
      <c r="Q13" s="107"/>
      <c r="R13" s="107"/>
      <c r="S13" s="107"/>
      <c r="T13" s="107"/>
      <c r="U13" s="107"/>
    </row>
    <row r="14" spans="1:21" s="109" customFormat="1" ht="21" customHeight="1" x14ac:dyDescent="0.3">
      <c r="A14" s="107">
        <v>10</v>
      </c>
      <c r="B14" s="110" t="s">
        <v>194</v>
      </c>
      <c r="C14" s="111" t="str">
        <f>IF('PTP_ENG-10'!C5&lt;&gt;"",'PTP_ENG-10'!C5,"-")</f>
        <v>Chatuporn Kleebkaew</v>
      </c>
      <c r="D14" s="107" t="str">
        <f>IF('PTP_ENG-10'!I5&lt;&gt;"",'PTP_ENG-10'!I5,"-")</f>
        <v>Engineer</v>
      </c>
      <c r="E14" s="136" t="str">
        <f>IF('PTP_ENG-10'!C7&lt;&gt;"",'PTP_ENG-10'!C7,"-")</f>
        <v>Software Engineer</v>
      </c>
      <c r="F14" s="107" t="str">
        <f>IF('PTP_ENG-10'!F7&lt;&gt;"",'PTP_ENG-10'!F7,"-")</f>
        <v>2 ปี 8 เดือน</v>
      </c>
      <c r="G14" s="107">
        <f>IF('PTP_ENG-10'!I7&lt;&gt;"",'PTP_ENG-10'!I7,"-")</f>
        <v>1</v>
      </c>
      <c r="H14" s="107" t="str">
        <f>IF('PTP_ENG-10'!C9&lt;&gt;"",'PTP_ENG-10'!C9,"-")</f>
        <v>Intermediate</v>
      </c>
      <c r="I14" s="107"/>
      <c r="J14" s="107"/>
      <c r="K14" s="107"/>
      <c r="L14" s="107"/>
      <c r="M14" s="107"/>
      <c r="N14" s="108"/>
      <c r="O14" s="107"/>
      <c r="P14" s="107"/>
      <c r="Q14" s="107"/>
      <c r="R14" s="107"/>
      <c r="S14" s="107"/>
      <c r="T14" s="107"/>
      <c r="U14" s="107"/>
    </row>
    <row r="15" spans="1:21" s="109" customFormat="1" ht="21" customHeight="1" x14ac:dyDescent="0.3">
      <c r="A15" s="107">
        <v>11</v>
      </c>
      <c r="B15" s="110" t="s">
        <v>195</v>
      </c>
      <c r="C15" s="111" t="str">
        <f>IF('PTP_ENG-11'!C5&lt;&gt;"",'PTP_ENG-11'!C5,"-")</f>
        <v>Chomchanok Tangmahasuk</v>
      </c>
      <c r="D15" s="107" t="str">
        <f>IF('PTP_ENG-11'!I5&lt;&gt;"",'PTP_ENG-11'!I5,"-")</f>
        <v>Engineer</v>
      </c>
      <c r="E15" s="136" t="str">
        <f>IF('PTP_ENG-11'!C7&lt;&gt;"",'PTP_ENG-11'!C7,"-")</f>
        <v>Android Developer</v>
      </c>
      <c r="F15" s="107">
        <f>IF('PTP_ENG-11'!F7&lt;&gt;"",'PTP_ENG-11'!F7,"-")</f>
        <v>2</v>
      </c>
      <c r="G15" s="107">
        <f>IF('PTP_ENG-11'!I7&lt;&gt;"",'PTP_ENG-11'!I7,"-")</f>
        <v>1</v>
      </c>
      <c r="H15" s="107" t="str">
        <f>IF('PTP_ENG-11'!C9&lt;&gt;"",'PTP_ENG-11'!C9,"-")</f>
        <v>Intermediate</v>
      </c>
      <c r="I15" s="107"/>
      <c r="J15" s="107"/>
      <c r="K15" s="107"/>
      <c r="L15" s="107"/>
      <c r="M15" s="107"/>
      <c r="N15" s="108"/>
      <c r="O15" s="107"/>
      <c r="P15" s="107"/>
      <c r="Q15" s="107"/>
      <c r="R15" s="107"/>
      <c r="S15" s="107"/>
      <c r="T15" s="107"/>
      <c r="U15" s="107"/>
    </row>
    <row r="16" spans="1:21" s="109" customFormat="1" ht="21" customHeight="1" x14ac:dyDescent="0.3">
      <c r="A16" s="107">
        <v>12</v>
      </c>
      <c r="B16" s="110" t="s">
        <v>196</v>
      </c>
      <c r="C16" s="111" t="str">
        <f>IF('PTP_ENG-12'!C5&lt;&gt;"",'PTP_ENG-12'!C5,"-")</f>
        <v>Pathompong Kongprajug</v>
      </c>
      <c r="D16" s="107" t="str">
        <f>IF('PTP_ENG-12'!I5&lt;&gt;"",'PTP_ENG-12'!I5,"-")</f>
        <v>Engineer</v>
      </c>
      <c r="E16" s="136" t="str">
        <f>IF('PTP_ENG-12'!C7&lt;&gt;"",'PTP_ENG-12'!C7,"-")</f>
        <v>Engineer</v>
      </c>
      <c r="F16" s="107" t="str">
        <f>IF('PTP_ENG-12'!F7&lt;&gt;"",'PTP_ENG-12'!F7,"-")</f>
        <v>Python 2, PHP 3</v>
      </c>
      <c r="G16" s="107">
        <f>IF('PTP_ENG-12'!I7&lt;&gt;"",'PTP_ENG-12'!I7,"-")</f>
        <v>1</v>
      </c>
      <c r="H16" s="107" t="str">
        <f>IF('PTP_ENG-12'!C9&lt;&gt;"",'PTP_ENG-12'!C9,"-")</f>
        <v>Senior</v>
      </c>
      <c r="I16" s="107"/>
      <c r="J16" s="107"/>
      <c r="K16" s="107"/>
      <c r="L16" s="107"/>
      <c r="M16" s="107"/>
      <c r="N16" s="108"/>
      <c r="O16" s="107"/>
      <c r="P16" s="107"/>
      <c r="Q16" s="107"/>
      <c r="R16" s="107"/>
      <c r="S16" s="107"/>
      <c r="T16" s="107"/>
      <c r="U16" s="107"/>
    </row>
    <row r="17" spans="1:21" s="109" customFormat="1" ht="21" customHeight="1" x14ac:dyDescent="0.3">
      <c r="A17" s="107">
        <v>13</v>
      </c>
      <c r="B17" s="110" t="s">
        <v>197</v>
      </c>
      <c r="C17" s="111" t="str">
        <f>IF('PTP_ENG-13'!C5&lt;&gt;"",'PTP_ENG-13'!C5,"-")</f>
        <v>Vorapong Paiboonplayoi</v>
      </c>
      <c r="D17" s="107" t="str">
        <f>IF('PTP_ENG-13'!I5&lt;&gt;"",'PTP_ENG-13'!I5,"-")</f>
        <v>Engineer</v>
      </c>
      <c r="E17" s="136" t="str">
        <f>IF('PTP_ENG-13'!C7&lt;&gt;"",'PTP_ENG-13'!C7,"-")</f>
        <v>Mobile Developer</v>
      </c>
      <c r="F17" s="107">
        <f>IF('PTP_ENG-13'!F7&lt;&gt;"",'PTP_ENG-13'!F7,"-")</f>
        <v>2</v>
      </c>
      <c r="G17" s="107">
        <f>IF('PTP_ENG-13'!I7&lt;&gt;"",'PTP_ENG-13'!I7,"-")</f>
        <v>1</v>
      </c>
      <c r="H17" s="107" t="str">
        <f>IF('PTP_ENG-13'!C9&lt;&gt;"",'PTP_ENG-13'!C9,"-")</f>
        <v>Intermediate</v>
      </c>
      <c r="I17" s="107"/>
      <c r="J17" s="107"/>
      <c r="K17" s="107"/>
      <c r="L17" s="107"/>
      <c r="M17" s="107"/>
      <c r="N17" s="108"/>
      <c r="O17" s="107"/>
      <c r="P17" s="107"/>
      <c r="Q17" s="107"/>
      <c r="R17" s="107"/>
      <c r="S17" s="107"/>
      <c r="T17" s="107"/>
      <c r="U17" s="107"/>
    </row>
    <row r="18" spans="1:21" s="109" customFormat="1" ht="21" customHeight="1" x14ac:dyDescent="0.3">
      <c r="A18" s="107">
        <v>14</v>
      </c>
      <c r="B18" s="110" t="s">
        <v>198</v>
      </c>
      <c r="C18" s="111" t="str">
        <f>IF('PTP_ENG-14'!C5&lt;&gt;"",'PTP_ENG-14'!C5,"-")</f>
        <v>Aphinun Wanatanareeyachart</v>
      </c>
      <c r="D18" s="107" t="str">
        <f>IF('PTP_ENG-14'!I5&lt;&gt;"",'PTP_ENG-14'!I5,"-")</f>
        <v>Engineer</v>
      </c>
      <c r="E18" s="136" t="str">
        <f>IF('PTP_ENG-14'!C7&lt;&gt;"",'PTP_ENG-14'!C7,"-")</f>
        <v>Mobile Developer</v>
      </c>
      <c r="F18" s="107" t="str">
        <f>IF('PTP_ENG-14'!F7&lt;&gt;"",'PTP_ENG-14'!F7,"-")</f>
        <v>1 ปี 9 เดือน</v>
      </c>
      <c r="G18" s="107">
        <f>IF('PTP_ENG-14'!I7&lt;&gt;"",'PTP_ENG-14'!I7,"-")</f>
        <v>1</v>
      </c>
      <c r="H18" s="107" t="str">
        <f>IF('PTP_ENG-14'!C9&lt;&gt;"",'PTP_ENG-14'!C9,"-")</f>
        <v>Intermediate</v>
      </c>
      <c r="I18" s="107"/>
      <c r="J18" s="107"/>
      <c r="K18" s="107"/>
      <c r="L18" s="107"/>
      <c r="M18" s="107"/>
      <c r="N18" s="108"/>
      <c r="O18" s="107"/>
      <c r="P18" s="107"/>
      <c r="Q18" s="107"/>
      <c r="R18" s="107"/>
      <c r="S18" s="107"/>
      <c r="T18" s="107"/>
      <c r="U18" s="107"/>
    </row>
    <row r="19" spans="1:21" s="109" customFormat="1" ht="21" customHeight="1" x14ac:dyDescent="0.3">
      <c r="A19" s="107">
        <v>15</v>
      </c>
      <c r="B19" s="110" t="s">
        <v>199</v>
      </c>
      <c r="C19" s="111" t="str">
        <f>IF('PTP_ENG-15'!C5&lt;&gt;"",'PTP_ENG-15'!C5,"-")</f>
        <v>Wasin Petcharat</v>
      </c>
      <c r="D19" s="107" t="str">
        <f>IF('PTP_ENG-15'!I5&lt;&gt;"",'PTP_ENG-15'!I5,"-")</f>
        <v>Engineer</v>
      </c>
      <c r="E19" s="136" t="str">
        <f>IF('PTP_ENG-15'!C7&lt;&gt;"",'PTP_ENG-15'!C7,"-")</f>
        <v>Software Engineer</v>
      </c>
      <c r="F19" s="107" t="str">
        <f>IF('PTP_ENG-15'!F7&lt;&gt;"",'PTP_ENG-15'!F7,"-")</f>
        <v>1y 10m</v>
      </c>
      <c r="G19" s="107">
        <f>IF('PTP_ENG-15'!I7&lt;&gt;"",'PTP_ENG-15'!I7,"-")</f>
        <v>1</v>
      </c>
      <c r="H19" s="107" t="str">
        <f>IF('PTP_ENG-15'!C9&lt;&gt;"",'PTP_ENG-15'!C9,"-")</f>
        <v>Intermediate</v>
      </c>
      <c r="I19" s="107"/>
      <c r="J19" s="107"/>
      <c r="K19" s="107"/>
      <c r="L19" s="107"/>
      <c r="M19" s="107"/>
      <c r="N19" s="108"/>
      <c r="O19" s="107"/>
      <c r="P19" s="107"/>
      <c r="Q19" s="107"/>
      <c r="R19" s="107"/>
      <c r="S19" s="107"/>
      <c r="T19" s="107"/>
      <c r="U19" s="107"/>
    </row>
    <row r="20" spans="1:21" s="109" customFormat="1" ht="21" customHeight="1" x14ac:dyDescent="0.3">
      <c r="A20" s="107">
        <v>16</v>
      </c>
      <c r="B20" s="110" t="s">
        <v>200</v>
      </c>
      <c r="C20" s="111" t="str">
        <f>IF('PTP_ENG-16'!C5&lt;&gt;"",'PTP_ENG-16'!C5,"-")</f>
        <v>Woranop Phongnopkun</v>
      </c>
      <c r="D20" s="107" t="str">
        <f>IF('PTP_ENG-16'!I5&lt;&gt;"",'PTP_ENG-16'!I5,"-")</f>
        <v>Engineer</v>
      </c>
      <c r="E20" s="136" t="str">
        <f>IF('PTP_ENG-16'!C7&lt;&gt;"",'PTP_ENG-16'!C7,"-")</f>
        <v>Web Engineer</v>
      </c>
      <c r="F20" s="107">
        <f>IF('PTP_ENG-16'!F7&lt;&gt;"",'PTP_ENG-16'!F7,"-")</f>
        <v>1</v>
      </c>
      <c r="G20" s="107">
        <f>IF('PTP_ENG-16'!I7&lt;&gt;"",'PTP_ENG-16'!I7,"-")</f>
        <v>1</v>
      </c>
      <c r="H20" s="107" t="str">
        <f>IF('PTP_ENG-16'!C9&lt;&gt;"",'PTP_ENG-16'!C9,"-")</f>
        <v>Intermediate</v>
      </c>
      <c r="I20" s="107"/>
      <c r="J20" s="107"/>
      <c r="K20" s="107"/>
      <c r="L20" s="107"/>
      <c r="M20" s="107"/>
      <c r="N20" s="108"/>
      <c r="O20" s="107"/>
      <c r="P20" s="107"/>
      <c r="Q20" s="107"/>
      <c r="R20" s="107"/>
      <c r="S20" s="107"/>
      <c r="T20" s="107"/>
      <c r="U20" s="107"/>
    </row>
    <row r="21" spans="1:21" s="109" customFormat="1" ht="21" customHeight="1" x14ac:dyDescent="0.3">
      <c r="A21" s="107">
        <v>17</v>
      </c>
      <c r="B21" s="110" t="s">
        <v>201</v>
      </c>
      <c r="C21" s="111" t="str">
        <f>IF('PTP_ENG-17'!C5&lt;&gt;"",'PTP_ENG-17'!C5,"-")</f>
        <v>Kittitoch Phuekphaiphatmat</v>
      </c>
      <c r="D21" s="107" t="str">
        <f>IF('PTP_ENG-17'!I5&lt;&gt;"",'PTP_ENG-17'!I5,"-")</f>
        <v>Engineer</v>
      </c>
      <c r="E21" s="136" t="str">
        <f>IF('PTP_ENG-17'!C7&lt;&gt;"",'PTP_ENG-17'!C7,"-")</f>
        <v>Python Developer</v>
      </c>
      <c r="F21" s="107">
        <f>IF('PTP_ENG-17'!F7&lt;&gt;"",'PTP_ENG-17'!F7,"-")</f>
        <v>1</v>
      </c>
      <c r="G21" s="107">
        <f>IF('PTP_ENG-17'!I7&lt;&gt;"",'PTP_ENG-17'!I7,"-")</f>
        <v>1</v>
      </c>
      <c r="H21" s="107" t="str">
        <f>IF('PTP_ENG-17'!C9&lt;&gt;"",'PTP_ENG-17'!C9,"-")</f>
        <v>Intermediate</v>
      </c>
      <c r="I21" s="107"/>
      <c r="J21" s="107"/>
      <c r="K21" s="107"/>
      <c r="L21" s="107"/>
      <c r="M21" s="107"/>
      <c r="N21" s="108"/>
      <c r="O21" s="107"/>
      <c r="P21" s="107"/>
      <c r="Q21" s="107"/>
      <c r="R21" s="107"/>
      <c r="S21" s="107"/>
      <c r="T21" s="107"/>
      <c r="U21" s="107"/>
    </row>
    <row r="22" spans="1:21" s="109" customFormat="1" ht="21" customHeight="1" x14ac:dyDescent="0.3">
      <c r="A22" s="107">
        <v>18</v>
      </c>
      <c r="B22" s="110" t="s">
        <v>202</v>
      </c>
      <c r="C22" s="111" t="str">
        <f>IF('PTP_ENG-18'!C5&lt;&gt;"",'PTP_ENG-18'!C5,"-")</f>
        <v>Pattadon Adhipanyasarij</v>
      </c>
      <c r="D22" s="107" t="str">
        <f>IF('PTP_ENG-18'!I5&lt;&gt;"",'PTP_ENG-18'!I5,"-")</f>
        <v>Engineer</v>
      </c>
      <c r="E22" s="136" t="str">
        <f>IF('PTP_ENG-18'!C7&lt;&gt;"",'PTP_ENG-18'!C7,"-")</f>
        <v>Android Developer</v>
      </c>
      <c r="F22" s="107">
        <f>IF('PTP_ENG-18'!F7&lt;&gt;"",'PTP_ENG-18'!F7,"-")</f>
        <v>1</v>
      </c>
      <c r="G22" s="107">
        <f>IF('PTP_ENG-18'!I7&lt;&gt;"",'PTP_ENG-18'!I7,"-")</f>
        <v>1</v>
      </c>
      <c r="H22" s="107" t="str">
        <f>IF('PTP_ENG-18'!C9&lt;&gt;"",'PTP_ENG-18'!C9,"-")</f>
        <v>Intermediate</v>
      </c>
      <c r="I22" s="107"/>
      <c r="J22" s="107"/>
      <c r="K22" s="107"/>
      <c r="L22" s="107"/>
      <c r="M22" s="107"/>
      <c r="N22" s="108"/>
      <c r="O22" s="107"/>
      <c r="P22" s="107"/>
      <c r="Q22" s="107"/>
      <c r="R22" s="107"/>
      <c r="S22" s="107"/>
      <c r="T22" s="107"/>
      <c r="U22" s="107"/>
    </row>
    <row r="23" spans="1:21" s="109" customFormat="1" ht="21" customHeight="1" x14ac:dyDescent="0.3">
      <c r="A23" s="107">
        <v>19</v>
      </c>
      <c r="B23" s="110" t="s">
        <v>203</v>
      </c>
      <c r="C23" s="111" t="str">
        <f>IF('PTP_ENG-19'!C5&lt;&gt;"",'PTP_ENG-19'!C5,"-")</f>
        <v>Apinya Tangtermphol</v>
      </c>
      <c r="D23" s="107" t="str">
        <f>IF('PTP_ENG-19'!I5&lt;&gt;"",'PTP_ENG-19'!I5,"-")</f>
        <v>Engineer</v>
      </c>
      <c r="E23" s="136" t="str">
        <f>IF('PTP_ENG-19'!C7&lt;&gt;"",'PTP_ENG-19'!C7,"-")</f>
        <v>Engineer</v>
      </c>
      <c r="F23" s="107">
        <f>IF('PTP_ENG-19'!F7&lt;&gt;"",'PTP_ENG-19'!F7,"-")</f>
        <v>1</v>
      </c>
      <c r="G23" s="107">
        <f>IF('PTP_ENG-19'!I7&lt;&gt;"",'PTP_ENG-19'!I7,"-")</f>
        <v>1</v>
      </c>
      <c r="H23" s="107" t="str">
        <f>IF('PTP_ENG-19'!C9&lt;&gt;"",'PTP_ENG-19'!C9,"-")</f>
        <v>Intermediate</v>
      </c>
      <c r="I23" s="107"/>
      <c r="J23" s="107"/>
      <c r="K23" s="107"/>
      <c r="L23" s="107"/>
      <c r="M23" s="107"/>
      <c r="N23" s="108"/>
      <c r="O23" s="107"/>
      <c r="P23" s="107"/>
      <c r="Q23" s="107"/>
      <c r="R23" s="107"/>
      <c r="S23" s="107"/>
      <c r="T23" s="107"/>
      <c r="U23" s="107"/>
    </row>
    <row r="24" spans="1:21" s="109" customFormat="1" ht="21" customHeight="1" x14ac:dyDescent="0.3">
      <c r="A24" s="107">
        <v>20</v>
      </c>
      <c r="B24" s="110" t="s">
        <v>204</v>
      </c>
      <c r="C24" s="111" t="str">
        <f>IF('PTP_ENG-20'!C5&lt;&gt;"",'PTP_ENG-20'!C5,"-")</f>
        <v>Nuttha Sirisoda</v>
      </c>
      <c r="D24" s="107" t="str">
        <f>IF('PTP_ENG-20'!I5&lt;&gt;"",'PTP_ENG-20'!I5,"-")</f>
        <v>Engineer</v>
      </c>
      <c r="E24" s="136" t="str">
        <f>IF('PTP_ENG-20'!C7&lt;&gt;"",'PTP_ENG-20'!C7,"-")</f>
        <v>Python Developer</v>
      </c>
      <c r="F24" s="107">
        <f>IF('PTP_ENG-20'!F7&lt;&gt;"",'PTP_ENG-20'!F7,"-")</f>
        <v>1</v>
      </c>
      <c r="G24" s="107">
        <f>IF('PTP_ENG-20'!I7&lt;&gt;"",'PTP_ENG-20'!I7,"-")</f>
        <v>1</v>
      </c>
      <c r="H24" s="107" t="str">
        <f>IF('PTP_ENG-20'!C9&lt;&gt;"",'PTP_ENG-20'!C9,"-")</f>
        <v>Intermediate</v>
      </c>
      <c r="I24" s="107"/>
      <c r="J24" s="107"/>
      <c r="K24" s="107"/>
      <c r="L24" s="107"/>
      <c r="M24" s="107"/>
      <c r="N24" s="108"/>
      <c r="O24" s="107"/>
      <c r="P24" s="107"/>
      <c r="Q24" s="107"/>
      <c r="R24" s="107"/>
      <c r="S24" s="107"/>
      <c r="T24" s="107"/>
      <c r="U24" s="107"/>
    </row>
    <row r="25" spans="1:21" s="109" customFormat="1" ht="21" customHeight="1" x14ac:dyDescent="0.3">
      <c r="A25" s="107">
        <v>21</v>
      </c>
      <c r="B25" s="110" t="s">
        <v>205</v>
      </c>
      <c r="C25" s="111" t="str">
        <f>IF('PTP_ENG-21'!C5&lt;&gt;"",'PTP_ENG-21'!C5,"-")</f>
        <v>Rattaporn Thongmeesuk</v>
      </c>
      <c r="D25" s="107" t="str">
        <f>IF('PTP_ENG-21'!I5&lt;&gt;"",'PTP_ENG-21'!I5,"-")</f>
        <v>Engineer</v>
      </c>
      <c r="E25" s="136" t="str">
        <f>IF('PTP_ENG-21'!C7&lt;&gt;"",'PTP_ENG-21'!C7,"-")</f>
        <v>Web developer</v>
      </c>
      <c r="F25" s="107">
        <f>IF('PTP_ENG-21'!F7&lt;&gt;"",'PTP_ENG-21'!F7,"-")</f>
        <v>1</v>
      </c>
      <c r="G25" s="107">
        <f>IF('PTP_ENG-21'!I7&lt;&gt;"",'PTP_ENG-21'!I7,"-")</f>
        <v>1</v>
      </c>
      <c r="H25" s="107" t="str">
        <f>IF('PTP_ENG-21'!C9&lt;&gt;"",'PTP_ENG-21'!C9,"-")</f>
        <v>Intermediate</v>
      </c>
      <c r="I25" s="107"/>
      <c r="J25" s="107"/>
      <c r="K25" s="107"/>
      <c r="L25" s="107"/>
      <c r="M25" s="107"/>
      <c r="N25" s="108"/>
      <c r="O25" s="107"/>
      <c r="P25" s="107"/>
      <c r="Q25" s="107"/>
      <c r="R25" s="107"/>
      <c r="S25" s="107"/>
      <c r="T25" s="107"/>
      <c r="U25" s="107"/>
    </row>
    <row r="26" spans="1:21" s="109" customFormat="1" ht="21" customHeight="1" x14ac:dyDescent="0.3">
      <c r="A26" s="107">
        <v>22</v>
      </c>
      <c r="B26" s="110" t="s">
        <v>206</v>
      </c>
      <c r="C26" s="111" t="str">
        <f>IF('PTP_ENG-22'!C5&lt;&gt;"",'PTP_ENG-22'!C5,"-")</f>
        <v>Watchareeporn Treedach</v>
      </c>
      <c r="D26" s="107" t="str">
        <f>IF('PTP_ENG-22'!I5&lt;&gt;"",'PTP_ENG-22'!I5,"-")</f>
        <v>Engineer</v>
      </c>
      <c r="E26" s="136" t="str">
        <f>IF('PTP_ENG-22'!C7&lt;&gt;"",'PTP_ENG-22'!C7,"-")</f>
        <v>iOS Developer</v>
      </c>
      <c r="F26" s="107" t="str">
        <f>IF('PTP_ENG-22'!F7&lt;&gt;"",'PTP_ENG-22'!F7,"-")</f>
        <v>9เดือน21วัน</v>
      </c>
      <c r="G26" s="107">
        <f>IF('PTP_ENG-22'!I7&lt;&gt;"",'PTP_ENG-22'!I7,"-")</f>
        <v>1</v>
      </c>
      <c r="H26" s="107" t="str">
        <f>IF('PTP_ENG-22'!C9&lt;&gt;"",'PTP_ENG-22'!C9,"-")</f>
        <v>Entry/Junior</v>
      </c>
      <c r="I26" s="107"/>
      <c r="J26" s="107"/>
      <c r="K26" s="107"/>
      <c r="L26" s="107"/>
      <c r="M26" s="107"/>
      <c r="N26" s="108"/>
      <c r="O26" s="107"/>
      <c r="P26" s="107"/>
      <c r="Q26" s="107"/>
      <c r="R26" s="107"/>
      <c r="S26" s="107"/>
      <c r="T26" s="107"/>
      <c r="U26" s="107"/>
    </row>
    <row r="27" spans="1:21" s="109" customFormat="1" ht="21" customHeight="1" x14ac:dyDescent="0.3">
      <c r="A27" s="107">
        <v>23</v>
      </c>
      <c r="B27" s="110" t="s">
        <v>207</v>
      </c>
      <c r="C27" s="111" t="str">
        <f>IF('PTP_ENG-23'!C5&lt;&gt;"",'PTP_ENG-23'!C5,"-")</f>
        <v>Chavalit Deeudomwongsa</v>
      </c>
      <c r="D27" s="107" t="str">
        <f>IF('PTP_ENG-23'!I5&lt;&gt;"",'PTP_ENG-23'!I5,"-")</f>
        <v>Engineer</v>
      </c>
      <c r="E27" s="136" t="str">
        <f>IF('PTP_ENG-23'!C7&lt;&gt;"",'PTP_ENG-23'!C7,"-")</f>
        <v>Software Quality Assurance Engineer</v>
      </c>
      <c r="F27" s="107">
        <f>IF('PTP_ENG-23'!F7&lt;&gt;"",'PTP_ENG-23'!F7,"-")</f>
        <v>1</v>
      </c>
      <c r="G27" s="107">
        <f>IF('PTP_ENG-23'!I7&lt;&gt;"",'PTP_ENG-23'!I7,"-")</f>
        <v>1</v>
      </c>
      <c r="H27" s="107" t="str">
        <f>IF('PTP_ENG-23'!C9&lt;&gt;"",'PTP_ENG-23'!C9,"-")</f>
        <v>Intermediate</v>
      </c>
      <c r="I27" s="107"/>
      <c r="J27" s="107"/>
      <c r="K27" s="107"/>
      <c r="L27" s="107"/>
      <c r="M27" s="107"/>
      <c r="N27" s="108"/>
      <c r="O27" s="107"/>
      <c r="P27" s="107"/>
      <c r="Q27" s="107"/>
      <c r="R27" s="107"/>
      <c r="S27" s="107"/>
      <c r="T27" s="107"/>
      <c r="U27" s="107"/>
    </row>
    <row r="28" spans="1:21" s="106" customFormat="1" ht="6.6" customHeight="1" x14ac:dyDescent="0.3">
      <c r="A28" s="104"/>
      <c r="B28" s="104"/>
      <c r="C28" s="104"/>
      <c r="D28" s="104"/>
      <c r="E28" s="137"/>
      <c r="F28" s="104"/>
      <c r="G28" s="105"/>
      <c r="H28" s="105"/>
      <c r="I28" s="105"/>
      <c r="J28" s="105"/>
      <c r="K28" s="105"/>
      <c r="L28" s="105"/>
      <c r="M28" s="105"/>
      <c r="N28" s="105"/>
      <c r="O28" s="105"/>
      <c r="P28" s="105"/>
      <c r="Q28" s="105"/>
      <c r="R28" s="105"/>
      <c r="S28" s="105"/>
      <c r="T28" s="105"/>
      <c r="U28" s="105"/>
    </row>
    <row r="29" spans="1:21" x14ac:dyDescent="0.3">
      <c r="A29" s="85"/>
      <c r="B29" s="85"/>
      <c r="C29" s="85"/>
      <c r="D29" s="85"/>
      <c r="E29" s="134"/>
      <c r="F29" s="85"/>
      <c r="G29" s="84"/>
      <c r="H29" s="84"/>
      <c r="I29" s="84"/>
      <c r="J29" s="84"/>
      <c r="K29" s="84"/>
      <c r="L29" s="84"/>
      <c r="M29" s="84"/>
      <c r="N29" s="84"/>
      <c r="O29" s="84"/>
      <c r="P29" s="84"/>
      <c r="Q29" s="84"/>
      <c r="R29" s="84"/>
      <c r="S29" s="84"/>
      <c r="T29" s="84"/>
      <c r="U29" s="84"/>
    </row>
    <row r="30" spans="1:21" x14ac:dyDescent="0.3">
      <c r="A30" s="85"/>
      <c r="B30" s="85"/>
      <c r="C30" s="85"/>
      <c r="D30" s="85"/>
      <c r="E30" s="134"/>
      <c r="F30" s="85"/>
      <c r="G30" s="84"/>
      <c r="H30" s="84"/>
      <c r="I30" s="84"/>
      <c r="J30" s="84"/>
      <c r="K30" s="84"/>
      <c r="L30" s="84"/>
      <c r="M30" s="84"/>
      <c r="N30" s="84"/>
      <c r="O30" s="84"/>
      <c r="P30" s="84"/>
      <c r="Q30" s="84"/>
      <c r="R30" s="84"/>
      <c r="S30" s="84"/>
      <c r="T30" s="84"/>
      <c r="U30" s="84"/>
    </row>
    <row r="31" spans="1:21" x14ac:dyDescent="0.3">
      <c r="A31" s="85"/>
      <c r="B31" s="85"/>
      <c r="C31" s="85"/>
      <c r="D31" s="85"/>
      <c r="E31" s="134"/>
      <c r="F31" s="85"/>
      <c r="G31" s="84"/>
      <c r="H31" s="84"/>
      <c r="I31" s="84"/>
      <c r="J31" s="84"/>
      <c r="K31" s="84"/>
      <c r="L31" s="84"/>
      <c r="M31" s="84"/>
      <c r="N31" s="84"/>
      <c r="O31" s="84"/>
      <c r="P31" s="84"/>
      <c r="Q31" s="84"/>
      <c r="R31" s="84"/>
      <c r="S31" s="84"/>
      <c r="T31" s="84"/>
      <c r="U31" s="84"/>
    </row>
    <row r="32" spans="1:21" x14ac:dyDescent="0.3">
      <c r="A32" s="85"/>
      <c r="B32" s="85"/>
      <c r="C32" s="85"/>
      <c r="D32" s="85"/>
      <c r="E32" s="134"/>
      <c r="F32" s="85"/>
      <c r="G32" s="84"/>
      <c r="H32" s="84"/>
      <c r="I32" s="84"/>
      <c r="J32" s="84"/>
      <c r="K32" s="84"/>
      <c r="L32" s="84"/>
      <c r="M32" s="84"/>
      <c r="N32" s="84"/>
      <c r="O32" s="84"/>
      <c r="P32" s="84"/>
      <c r="Q32" s="84"/>
      <c r="R32" s="84"/>
      <c r="S32" s="84"/>
      <c r="T32" s="84"/>
      <c r="U32" s="84"/>
    </row>
    <row r="33" spans="1:21" x14ac:dyDescent="0.3">
      <c r="A33" s="85"/>
      <c r="B33" s="85"/>
      <c r="C33" s="85"/>
      <c r="D33" s="85"/>
      <c r="E33" s="134"/>
      <c r="F33" s="85"/>
      <c r="G33" s="84"/>
      <c r="H33" s="84"/>
      <c r="I33" s="84"/>
      <c r="J33" s="84"/>
      <c r="K33" s="84"/>
      <c r="L33" s="84"/>
      <c r="M33" s="84"/>
      <c r="N33" s="84"/>
      <c r="O33" s="84"/>
      <c r="P33" s="84"/>
      <c r="Q33" s="84"/>
      <c r="R33" s="84"/>
      <c r="S33" s="84"/>
      <c r="T33" s="84"/>
      <c r="U33" s="84"/>
    </row>
    <row r="34" spans="1:21" x14ac:dyDescent="0.3">
      <c r="A34" s="85"/>
      <c r="B34" s="85"/>
      <c r="C34" s="85"/>
      <c r="D34" s="85"/>
      <c r="E34" s="134"/>
      <c r="F34" s="85"/>
      <c r="G34" s="84"/>
      <c r="H34" s="84"/>
      <c r="I34" s="84"/>
      <c r="J34" s="84"/>
      <c r="K34" s="84"/>
      <c r="L34" s="84"/>
      <c r="M34" s="84"/>
      <c r="N34" s="84"/>
      <c r="O34" s="84"/>
      <c r="P34" s="84"/>
      <c r="Q34" s="84"/>
      <c r="R34" s="84"/>
      <c r="S34" s="84"/>
      <c r="T34" s="84"/>
      <c r="U34" s="84"/>
    </row>
    <row r="35" spans="1:21" x14ac:dyDescent="0.3">
      <c r="A35" s="85"/>
      <c r="B35" s="85"/>
      <c r="C35" s="85"/>
      <c r="D35" s="85"/>
      <c r="E35" s="134"/>
      <c r="F35" s="85"/>
      <c r="G35" s="84"/>
      <c r="H35" s="84"/>
      <c r="I35" s="84"/>
      <c r="J35" s="84"/>
      <c r="K35" s="84"/>
      <c r="L35" s="84"/>
      <c r="M35" s="84"/>
      <c r="N35" s="84"/>
      <c r="O35" s="84"/>
      <c r="P35" s="84"/>
      <c r="Q35" s="84"/>
      <c r="R35" s="84"/>
      <c r="S35" s="84"/>
      <c r="T35" s="84"/>
      <c r="U35" s="84"/>
    </row>
    <row r="36" spans="1:21" x14ac:dyDescent="0.3">
      <c r="A36" s="85"/>
      <c r="B36" s="85"/>
      <c r="C36" s="85"/>
      <c r="D36" s="85"/>
      <c r="E36" s="134"/>
      <c r="F36" s="85"/>
      <c r="G36" s="84"/>
      <c r="H36" s="84"/>
      <c r="I36" s="84"/>
      <c r="J36" s="84"/>
      <c r="K36" s="84"/>
      <c r="L36" s="84"/>
      <c r="M36" s="84"/>
      <c r="N36" s="84"/>
      <c r="O36" s="84"/>
      <c r="P36" s="84"/>
      <c r="Q36" s="84"/>
      <c r="R36" s="84"/>
      <c r="S36" s="84"/>
      <c r="T36" s="84"/>
      <c r="U36" s="84"/>
    </row>
    <row r="37" spans="1:21" x14ac:dyDescent="0.3">
      <c r="A37" s="85"/>
      <c r="B37" s="85"/>
      <c r="C37" s="85"/>
      <c r="D37" s="85"/>
      <c r="E37" s="134"/>
      <c r="F37" s="85"/>
      <c r="G37" s="84"/>
      <c r="H37" s="84"/>
      <c r="I37" s="84"/>
      <c r="J37" s="84"/>
      <c r="K37" s="84"/>
      <c r="L37" s="84"/>
      <c r="M37" s="84"/>
      <c r="N37" s="84"/>
      <c r="O37" s="84"/>
      <c r="P37" s="84"/>
      <c r="Q37" s="84"/>
      <c r="R37" s="84"/>
      <c r="S37" s="84"/>
      <c r="T37" s="84"/>
      <c r="U37" s="84"/>
    </row>
    <row r="38" spans="1:21" x14ac:dyDescent="0.3">
      <c r="A38" s="85"/>
      <c r="B38" s="85"/>
      <c r="C38" s="85"/>
      <c r="D38" s="85"/>
      <c r="E38" s="134"/>
      <c r="F38" s="85"/>
      <c r="G38" s="84"/>
      <c r="H38" s="84"/>
      <c r="I38" s="84"/>
      <c r="J38" s="84"/>
      <c r="K38" s="84"/>
      <c r="L38" s="84"/>
      <c r="M38" s="84"/>
      <c r="N38" s="84"/>
      <c r="O38" s="84"/>
      <c r="P38" s="84"/>
      <c r="Q38" s="84"/>
      <c r="R38" s="84"/>
      <c r="S38" s="84"/>
      <c r="T38" s="84"/>
      <c r="U38" s="84"/>
    </row>
    <row r="39" spans="1:21" x14ac:dyDescent="0.3">
      <c r="A39" s="85"/>
      <c r="B39" s="85"/>
      <c r="C39" s="85"/>
      <c r="D39" s="85"/>
      <c r="E39" s="134"/>
      <c r="F39" s="85"/>
      <c r="G39" s="84"/>
      <c r="H39" s="84"/>
      <c r="I39" s="84"/>
      <c r="J39" s="84"/>
      <c r="K39" s="84"/>
      <c r="L39" s="84"/>
      <c r="M39" s="84"/>
      <c r="N39" s="84"/>
      <c r="O39" s="84"/>
      <c r="P39" s="84"/>
      <c r="Q39" s="84"/>
      <c r="R39" s="84"/>
      <c r="S39" s="84"/>
      <c r="T39" s="84"/>
      <c r="U39" s="84"/>
    </row>
    <row r="40" spans="1:21" x14ac:dyDescent="0.3">
      <c r="A40" s="85"/>
      <c r="B40" s="85"/>
      <c r="C40" s="85"/>
      <c r="D40" s="85"/>
      <c r="E40" s="134"/>
      <c r="F40" s="85"/>
      <c r="G40" s="84"/>
      <c r="H40" s="84"/>
      <c r="I40" s="84"/>
      <c r="J40" s="84"/>
      <c r="K40" s="84"/>
      <c r="L40" s="84"/>
      <c r="M40" s="84"/>
      <c r="N40" s="84"/>
      <c r="O40" s="84"/>
      <c r="P40" s="84"/>
      <c r="Q40" s="84"/>
      <c r="R40" s="84"/>
      <c r="S40" s="84"/>
      <c r="T40" s="84"/>
      <c r="U40" s="84"/>
    </row>
    <row r="41" spans="1:21" x14ac:dyDescent="0.3">
      <c r="A41" s="85"/>
      <c r="B41" s="85"/>
      <c r="C41" s="85"/>
      <c r="D41" s="85"/>
      <c r="E41" s="134"/>
      <c r="F41" s="85"/>
      <c r="G41" s="84"/>
      <c r="H41" s="84"/>
      <c r="I41" s="84"/>
      <c r="J41" s="84"/>
      <c r="K41" s="84"/>
      <c r="L41" s="84"/>
      <c r="M41" s="84"/>
      <c r="N41" s="84"/>
      <c r="O41" s="84"/>
      <c r="P41" s="84"/>
      <c r="Q41" s="84"/>
      <c r="R41" s="84"/>
      <c r="S41" s="84"/>
      <c r="T41" s="84"/>
      <c r="U41" s="84"/>
    </row>
    <row r="42" spans="1:21" x14ac:dyDescent="0.3">
      <c r="A42" s="85"/>
      <c r="B42" s="85"/>
      <c r="C42" s="85"/>
      <c r="D42" s="85"/>
      <c r="E42" s="134"/>
      <c r="F42" s="85"/>
      <c r="G42" s="84"/>
      <c r="H42" s="84"/>
      <c r="I42" s="84"/>
      <c r="J42" s="84"/>
      <c r="K42" s="84"/>
      <c r="L42" s="84"/>
      <c r="M42" s="84"/>
      <c r="N42" s="84"/>
      <c r="O42" s="84"/>
      <c r="P42" s="84"/>
      <c r="Q42" s="84"/>
      <c r="R42" s="84"/>
      <c r="S42" s="84"/>
      <c r="T42" s="84"/>
      <c r="U42" s="84"/>
    </row>
    <row r="43" spans="1:21" x14ac:dyDescent="0.3">
      <c r="A43" s="85"/>
      <c r="B43" s="85"/>
      <c r="C43" s="85"/>
      <c r="D43" s="85"/>
      <c r="E43" s="134"/>
      <c r="F43" s="85"/>
      <c r="G43" s="84"/>
      <c r="H43" s="84"/>
      <c r="I43" s="84"/>
      <c r="J43" s="84"/>
      <c r="K43" s="84"/>
      <c r="L43" s="84"/>
      <c r="M43" s="84"/>
      <c r="N43" s="84"/>
      <c r="O43" s="84"/>
      <c r="P43" s="84"/>
      <c r="Q43" s="84"/>
      <c r="R43" s="84"/>
      <c r="S43" s="84"/>
      <c r="T43" s="84"/>
      <c r="U43" s="84"/>
    </row>
    <row r="44" spans="1:21" x14ac:dyDescent="0.3">
      <c r="A44" s="85"/>
      <c r="B44" s="85"/>
      <c r="C44" s="85"/>
      <c r="D44" s="85"/>
      <c r="E44" s="134"/>
      <c r="F44" s="85"/>
      <c r="G44" s="84"/>
      <c r="H44" s="84"/>
      <c r="I44" s="84"/>
      <c r="J44" s="84"/>
      <c r="K44" s="84"/>
      <c r="L44" s="84"/>
      <c r="M44" s="84"/>
      <c r="N44" s="84"/>
      <c r="O44" s="84"/>
      <c r="P44" s="84"/>
      <c r="Q44" s="84"/>
      <c r="R44" s="84"/>
      <c r="S44" s="84"/>
      <c r="T44" s="84"/>
      <c r="U44" s="84"/>
    </row>
    <row r="45" spans="1:21" x14ac:dyDescent="0.3">
      <c r="A45" s="85"/>
      <c r="B45" s="85"/>
      <c r="C45" s="85"/>
      <c r="D45" s="85"/>
      <c r="E45" s="134"/>
      <c r="F45" s="85"/>
      <c r="G45" s="84"/>
      <c r="H45" s="84"/>
      <c r="I45" s="84"/>
      <c r="J45" s="84"/>
      <c r="K45" s="84"/>
      <c r="L45" s="84"/>
      <c r="M45" s="84"/>
      <c r="N45" s="84"/>
      <c r="O45" s="84"/>
      <c r="P45" s="84"/>
      <c r="Q45" s="84"/>
      <c r="R45" s="84"/>
      <c r="S45" s="84"/>
      <c r="T45" s="84"/>
      <c r="U45" s="84"/>
    </row>
    <row r="46" spans="1:21" x14ac:dyDescent="0.3">
      <c r="A46" s="85"/>
      <c r="B46" s="85"/>
      <c r="C46" s="85"/>
      <c r="D46" s="85"/>
      <c r="E46" s="134"/>
      <c r="F46" s="85"/>
      <c r="G46" s="84"/>
      <c r="H46" s="84"/>
      <c r="I46" s="84"/>
      <c r="J46" s="84"/>
      <c r="K46" s="84"/>
      <c r="L46" s="84"/>
      <c r="M46" s="84"/>
      <c r="N46" s="84"/>
      <c r="O46" s="84"/>
      <c r="P46" s="84"/>
      <c r="Q46" s="84"/>
      <c r="R46" s="84"/>
      <c r="S46" s="84"/>
      <c r="T46" s="84"/>
      <c r="U46" s="84"/>
    </row>
    <row r="47" spans="1:21" x14ac:dyDescent="0.3">
      <c r="A47" s="85"/>
      <c r="B47" s="85"/>
      <c r="C47" s="85"/>
      <c r="D47" s="85"/>
      <c r="E47" s="134"/>
      <c r="F47" s="85"/>
      <c r="G47" s="84"/>
      <c r="H47" s="84"/>
      <c r="I47" s="84"/>
      <c r="J47" s="84"/>
      <c r="K47" s="84"/>
      <c r="L47" s="84"/>
      <c r="M47" s="84"/>
      <c r="N47" s="84"/>
      <c r="O47" s="84"/>
      <c r="P47" s="84"/>
      <c r="Q47" s="84"/>
      <c r="R47" s="84"/>
      <c r="S47" s="84"/>
      <c r="T47" s="84"/>
      <c r="U47" s="84"/>
    </row>
    <row r="48" spans="1:21" x14ac:dyDescent="0.3">
      <c r="A48" s="85"/>
      <c r="B48" s="85"/>
      <c r="C48" s="85"/>
      <c r="D48" s="85"/>
      <c r="E48" s="134"/>
      <c r="F48" s="85"/>
      <c r="G48" s="84"/>
      <c r="H48" s="84"/>
      <c r="I48" s="84"/>
      <c r="J48" s="84"/>
      <c r="K48" s="84"/>
      <c r="L48" s="84"/>
      <c r="M48" s="84"/>
      <c r="N48" s="84"/>
      <c r="O48" s="84"/>
      <c r="P48" s="84"/>
      <c r="Q48" s="84"/>
      <c r="R48" s="84"/>
      <c r="S48" s="84"/>
      <c r="T48" s="84"/>
      <c r="U48" s="84"/>
    </row>
    <row r="49" spans="1:21" x14ac:dyDescent="0.3">
      <c r="A49" s="85"/>
      <c r="B49" s="85"/>
      <c r="C49" s="85"/>
      <c r="D49" s="85"/>
      <c r="E49" s="134"/>
      <c r="F49" s="85"/>
      <c r="G49" s="84"/>
      <c r="H49" s="84"/>
      <c r="I49" s="84"/>
      <c r="J49" s="84"/>
      <c r="K49" s="84"/>
      <c r="L49" s="84"/>
      <c r="M49" s="84"/>
      <c r="N49" s="84"/>
      <c r="O49" s="84"/>
      <c r="P49" s="84"/>
      <c r="Q49" s="84"/>
      <c r="R49" s="84"/>
      <c r="S49" s="84"/>
      <c r="T49" s="84"/>
      <c r="U49" s="84"/>
    </row>
    <row r="50" spans="1:21" x14ac:dyDescent="0.3">
      <c r="A50" s="85"/>
      <c r="B50" s="85"/>
      <c r="C50" s="85"/>
      <c r="D50" s="85"/>
      <c r="E50" s="134"/>
      <c r="F50" s="85"/>
      <c r="G50" s="84"/>
      <c r="H50" s="84"/>
      <c r="I50" s="84"/>
      <c r="J50" s="84"/>
      <c r="K50" s="84"/>
      <c r="L50" s="84"/>
      <c r="M50" s="84"/>
      <c r="N50" s="84"/>
      <c r="O50" s="84"/>
      <c r="P50" s="84"/>
      <c r="Q50" s="84"/>
      <c r="R50" s="84"/>
      <c r="S50" s="84"/>
      <c r="T50" s="84"/>
      <c r="U50" s="84"/>
    </row>
    <row r="51" spans="1:21" x14ac:dyDescent="0.3">
      <c r="A51" s="85"/>
      <c r="B51" s="85"/>
      <c r="C51" s="85"/>
      <c r="D51" s="85"/>
      <c r="E51" s="134"/>
      <c r="F51" s="85"/>
      <c r="G51" s="84"/>
      <c r="H51" s="84"/>
      <c r="I51" s="84"/>
      <c r="J51" s="84"/>
      <c r="K51" s="84"/>
      <c r="L51" s="84"/>
      <c r="M51" s="84"/>
      <c r="N51" s="84"/>
      <c r="O51" s="84"/>
      <c r="P51" s="84"/>
      <c r="Q51" s="84"/>
      <c r="R51" s="84"/>
      <c r="S51" s="84"/>
      <c r="T51" s="84"/>
      <c r="U51" s="84"/>
    </row>
    <row r="52" spans="1:21" x14ac:dyDescent="0.3">
      <c r="A52" s="85"/>
      <c r="B52" s="85"/>
      <c r="C52" s="85"/>
      <c r="D52" s="85"/>
      <c r="E52" s="134"/>
      <c r="F52" s="85"/>
      <c r="G52" s="84"/>
      <c r="H52" s="84"/>
      <c r="I52" s="84"/>
      <c r="J52" s="84"/>
      <c r="K52" s="84"/>
      <c r="L52" s="84"/>
      <c r="M52" s="84"/>
      <c r="N52" s="84"/>
      <c r="O52" s="84"/>
      <c r="P52" s="84"/>
      <c r="Q52" s="84"/>
      <c r="R52" s="84"/>
      <c r="S52" s="84"/>
      <c r="T52" s="84"/>
      <c r="U52" s="84"/>
    </row>
    <row r="53" spans="1:21" x14ac:dyDescent="0.3">
      <c r="A53" s="85"/>
      <c r="B53" s="85"/>
      <c r="C53" s="85"/>
      <c r="D53" s="85"/>
      <c r="E53" s="134"/>
      <c r="F53" s="85"/>
      <c r="G53" s="84"/>
      <c r="H53" s="84"/>
      <c r="I53" s="84"/>
      <c r="J53" s="84"/>
      <c r="K53" s="84"/>
      <c r="L53" s="84"/>
      <c r="M53" s="84"/>
      <c r="N53" s="84"/>
      <c r="O53" s="84"/>
      <c r="P53" s="84"/>
      <c r="Q53" s="84"/>
      <c r="R53" s="84"/>
      <c r="S53" s="84"/>
      <c r="T53" s="84"/>
      <c r="U53" s="84"/>
    </row>
    <row r="54" spans="1:21" x14ac:dyDescent="0.3">
      <c r="A54" s="85"/>
      <c r="B54" s="85"/>
      <c r="C54" s="85"/>
      <c r="D54" s="85"/>
      <c r="E54" s="134"/>
      <c r="F54" s="85"/>
      <c r="G54" s="84"/>
      <c r="H54" s="84"/>
      <c r="I54" s="84"/>
      <c r="J54" s="84"/>
      <c r="K54" s="84"/>
      <c r="L54" s="84"/>
      <c r="M54" s="84"/>
      <c r="N54" s="84"/>
      <c r="O54" s="84"/>
      <c r="P54" s="84"/>
      <c r="Q54" s="84"/>
      <c r="R54" s="84"/>
      <c r="S54" s="84"/>
      <c r="T54" s="84"/>
      <c r="U54" s="84"/>
    </row>
    <row r="55" spans="1:21" x14ac:dyDescent="0.3">
      <c r="A55" s="85"/>
      <c r="B55" s="85"/>
      <c r="C55" s="85"/>
      <c r="D55" s="85"/>
      <c r="E55" s="134"/>
      <c r="F55" s="85"/>
      <c r="G55" s="84"/>
      <c r="H55" s="84"/>
      <c r="I55" s="84"/>
      <c r="J55" s="84"/>
      <c r="K55" s="84"/>
      <c r="L55" s="84"/>
      <c r="M55" s="84"/>
      <c r="N55" s="84"/>
      <c r="O55" s="84"/>
      <c r="P55" s="84"/>
      <c r="Q55" s="84"/>
      <c r="R55" s="84"/>
      <c r="S55" s="84"/>
      <c r="T55" s="84"/>
      <c r="U55" s="84"/>
    </row>
    <row r="56" spans="1:21" x14ac:dyDescent="0.3">
      <c r="A56" s="85"/>
      <c r="B56" s="85"/>
      <c r="C56" s="85"/>
      <c r="D56" s="85"/>
      <c r="E56" s="134"/>
      <c r="F56" s="85"/>
      <c r="G56" s="84"/>
      <c r="H56" s="84"/>
      <c r="I56" s="84"/>
      <c r="J56" s="84"/>
      <c r="K56" s="84"/>
      <c r="L56" s="84"/>
      <c r="M56" s="84"/>
      <c r="N56" s="84"/>
      <c r="O56" s="84"/>
      <c r="P56" s="84"/>
      <c r="Q56" s="84"/>
      <c r="R56" s="84"/>
      <c r="S56" s="84"/>
      <c r="T56" s="84"/>
      <c r="U56" s="84"/>
    </row>
    <row r="57" spans="1:21" x14ac:dyDescent="0.3">
      <c r="A57" s="85"/>
      <c r="B57" s="85"/>
      <c r="C57" s="85"/>
      <c r="D57" s="85"/>
      <c r="E57" s="134"/>
      <c r="F57" s="85"/>
      <c r="G57" s="84"/>
      <c r="H57" s="84"/>
      <c r="I57" s="84"/>
      <c r="J57" s="84"/>
      <c r="K57" s="84"/>
      <c r="L57" s="84"/>
      <c r="M57" s="84"/>
      <c r="N57" s="84"/>
      <c r="O57" s="84"/>
      <c r="P57" s="84"/>
      <c r="Q57" s="84"/>
      <c r="R57" s="84"/>
      <c r="S57" s="84"/>
      <c r="T57" s="84"/>
      <c r="U57" s="84"/>
    </row>
    <row r="58" spans="1:21" x14ac:dyDescent="0.3">
      <c r="A58" s="85"/>
      <c r="B58" s="85"/>
      <c r="C58" s="85"/>
      <c r="D58" s="85"/>
      <c r="E58" s="134"/>
      <c r="F58" s="85"/>
      <c r="G58" s="84"/>
      <c r="H58" s="84"/>
      <c r="I58" s="84"/>
      <c r="J58" s="84"/>
      <c r="K58" s="84"/>
      <c r="L58" s="84"/>
      <c r="M58" s="84"/>
      <c r="N58" s="84"/>
      <c r="O58" s="84"/>
      <c r="P58" s="84"/>
      <c r="Q58" s="84"/>
      <c r="R58" s="84"/>
      <c r="S58" s="84"/>
      <c r="T58" s="84"/>
      <c r="U58" s="84"/>
    </row>
    <row r="59" spans="1:21" x14ac:dyDescent="0.3">
      <c r="A59" s="85"/>
      <c r="B59" s="85"/>
      <c r="C59" s="85"/>
      <c r="D59" s="85"/>
      <c r="E59" s="134"/>
      <c r="F59" s="85"/>
      <c r="G59" s="84"/>
      <c r="H59" s="84"/>
      <c r="I59" s="84"/>
      <c r="J59" s="84"/>
      <c r="K59" s="84"/>
      <c r="L59" s="84"/>
      <c r="M59" s="84"/>
      <c r="N59" s="84"/>
      <c r="O59" s="84"/>
      <c r="P59" s="84"/>
      <c r="Q59" s="84"/>
      <c r="R59" s="84"/>
      <c r="S59" s="84"/>
      <c r="T59" s="84"/>
      <c r="U59" s="84"/>
    </row>
    <row r="60" spans="1:21" x14ac:dyDescent="0.3">
      <c r="A60" s="85"/>
      <c r="B60" s="85"/>
      <c r="C60" s="85"/>
      <c r="D60" s="85"/>
      <c r="E60" s="134"/>
      <c r="F60" s="85"/>
      <c r="G60" s="84"/>
      <c r="H60" s="84"/>
      <c r="I60" s="84"/>
      <c r="J60" s="84"/>
      <c r="K60" s="84"/>
      <c r="L60" s="84"/>
      <c r="M60" s="84"/>
      <c r="N60" s="84"/>
      <c r="O60" s="84"/>
      <c r="P60" s="84"/>
      <c r="Q60" s="84"/>
      <c r="R60" s="84"/>
      <c r="S60" s="84"/>
      <c r="T60" s="84"/>
      <c r="U60" s="84"/>
    </row>
    <row r="61" spans="1:21" x14ac:dyDescent="0.3">
      <c r="A61" s="85"/>
      <c r="B61" s="85"/>
      <c r="C61" s="85"/>
      <c r="D61" s="85"/>
      <c r="E61" s="134"/>
      <c r="F61" s="85"/>
      <c r="G61" s="84"/>
      <c r="H61" s="84"/>
      <c r="I61" s="84"/>
      <c r="J61" s="84"/>
      <c r="K61" s="84"/>
      <c r="L61" s="84"/>
      <c r="M61" s="84"/>
      <c r="N61" s="84"/>
      <c r="O61" s="84"/>
      <c r="P61" s="84"/>
      <c r="Q61" s="84"/>
      <c r="R61" s="84"/>
      <c r="S61" s="84"/>
      <c r="T61" s="84"/>
      <c r="U61" s="84"/>
    </row>
    <row r="62" spans="1:21" x14ac:dyDescent="0.3">
      <c r="A62" s="85"/>
      <c r="B62" s="85"/>
      <c r="C62" s="85"/>
      <c r="D62" s="85"/>
      <c r="E62" s="134"/>
      <c r="F62" s="85"/>
      <c r="G62" s="84"/>
      <c r="H62" s="84"/>
      <c r="I62" s="84"/>
      <c r="J62" s="84"/>
      <c r="K62" s="84"/>
      <c r="L62" s="84"/>
      <c r="M62" s="84"/>
      <c r="N62" s="84"/>
      <c r="O62" s="84"/>
      <c r="P62" s="84"/>
      <c r="Q62" s="84"/>
      <c r="R62" s="84"/>
      <c r="S62" s="84"/>
      <c r="T62" s="84"/>
      <c r="U62" s="84"/>
    </row>
    <row r="63" spans="1:21" x14ac:dyDescent="0.3">
      <c r="A63" s="85"/>
      <c r="B63" s="85"/>
      <c r="C63" s="85"/>
      <c r="D63" s="85"/>
      <c r="E63" s="134"/>
      <c r="F63" s="85"/>
      <c r="G63" s="84"/>
      <c r="H63" s="84"/>
      <c r="I63" s="84"/>
      <c r="J63" s="84"/>
      <c r="K63" s="84"/>
      <c r="L63" s="84"/>
      <c r="M63" s="84"/>
      <c r="N63" s="84"/>
      <c r="O63" s="84"/>
      <c r="P63" s="84"/>
      <c r="Q63" s="84"/>
      <c r="R63" s="84"/>
      <c r="S63" s="84"/>
      <c r="T63" s="84"/>
      <c r="U63" s="84"/>
    </row>
    <row r="64" spans="1:21" x14ac:dyDescent="0.3">
      <c r="A64" s="85"/>
      <c r="B64" s="85"/>
      <c r="C64" s="85"/>
      <c r="D64" s="85"/>
      <c r="E64" s="134"/>
      <c r="F64" s="85"/>
      <c r="G64" s="84"/>
      <c r="H64" s="84"/>
      <c r="I64" s="84"/>
      <c r="J64" s="84"/>
      <c r="K64" s="84"/>
      <c r="L64" s="84"/>
      <c r="M64" s="84"/>
      <c r="N64" s="84"/>
      <c r="O64" s="84"/>
      <c r="P64" s="84"/>
      <c r="Q64" s="84"/>
      <c r="R64" s="84"/>
      <c r="S64" s="84"/>
      <c r="T64" s="84"/>
      <c r="U64" s="84"/>
    </row>
    <row r="65" spans="1:21" x14ac:dyDescent="0.3">
      <c r="A65" s="85"/>
      <c r="B65" s="85"/>
      <c r="C65" s="85"/>
      <c r="D65" s="85"/>
      <c r="E65" s="134"/>
      <c r="F65" s="85"/>
      <c r="G65" s="84"/>
      <c r="H65" s="84"/>
      <c r="I65" s="84"/>
      <c r="J65" s="84"/>
      <c r="K65" s="84"/>
      <c r="L65" s="84"/>
      <c r="M65" s="84"/>
      <c r="N65" s="84"/>
      <c r="O65" s="84"/>
      <c r="P65" s="84"/>
      <c r="Q65" s="84"/>
      <c r="R65" s="84"/>
      <c r="S65" s="84"/>
      <c r="T65" s="84"/>
      <c r="U65" s="84"/>
    </row>
    <row r="66" spans="1:21" x14ac:dyDescent="0.3">
      <c r="A66" s="85"/>
      <c r="B66" s="85"/>
      <c r="C66" s="85"/>
      <c r="D66" s="85"/>
      <c r="E66" s="134"/>
      <c r="F66" s="85"/>
      <c r="G66" s="84"/>
      <c r="H66" s="84"/>
      <c r="I66" s="84"/>
      <c r="J66" s="84"/>
      <c r="K66" s="84"/>
      <c r="L66" s="84"/>
      <c r="M66" s="84"/>
      <c r="N66" s="84"/>
      <c r="O66" s="84"/>
      <c r="P66" s="84"/>
      <c r="Q66" s="84"/>
      <c r="R66" s="84"/>
      <c r="S66" s="84"/>
      <c r="T66" s="84"/>
      <c r="U66" s="84"/>
    </row>
    <row r="67" spans="1:21" x14ac:dyDescent="0.3">
      <c r="A67" s="85"/>
      <c r="B67" s="85"/>
      <c r="C67" s="85"/>
      <c r="D67" s="85"/>
      <c r="E67" s="134"/>
      <c r="F67" s="85"/>
      <c r="G67" s="84"/>
      <c r="H67" s="84"/>
      <c r="I67" s="84"/>
      <c r="J67" s="84"/>
      <c r="K67" s="84"/>
      <c r="L67" s="84"/>
      <c r="M67" s="84"/>
      <c r="N67" s="84"/>
      <c r="O67" s="84"/>
      <c r="P67" s="84"/>
      <c r="Q67" s="84"/>
      <c r="R67" s="84"/>
      <c r="S67" s="84"/>
      <c r="T67" s="84"/>
      <c r="U67" s="84"/>
    </row>
    <row r="68" spans="1:21" x14ac:dyDescent="0.3">
      <c r="A68" s="85"/>
      <c r="B68" s="85"/>
      <c r="C68" s="85"/>
      <c r="D68" s="85"/>
      <c r="E68" s="134"/>
      <c r="F68" s="85"/>
      <c r="G68" s="84"/>
      <c r="H68" s="84"/>
      <c r="I68" s="84"/>
      <c r="J68" s="84"/>
      <c r="K68" s="84"/>
      <c r="L68" s="84"/>
      <c r="M68" s="84"/>
      <c r="N68" s="84"/>
      <c r="O68" s="84"/>
      <c r="P68" s="84"/>
      <c r="Q68" s="84"/>
      <c r="R68" s="84"/>
      <c r="S68" s="84"/>
      <c r="T68" s="84"/>
      <c r="U68" s="84"/>
    </row>
    <row r="69" spans="1:21" x14ac:dyDescent="0.3">
      <c r="A69" s="85"/>
      <c r="B69" s="85"/>
      <c r="C69" s="85"/>
      <c r="D69" s="85"/>
      <c r="E69" s="134"/>
      <c r="F69" s="85"/>
      <c r="G69" s="84"/>
      <c r="H69" s="84"/>
      <c r="I69" s="84"/>
      <c r="J69" s="84"/>
      <c r="K69" s="84"/>
      <c r="L69" s="84"/>
      <c r="M69" s="84"/>
      <c r="N69" s="84"/>
      <c r="O69" s="84"/>
      <c r="P69" s="84"/>
      <c r="Q69" s="84"/>
      <c r="R69" s="84"/>
      <c r="S69" s="84"/>
      <c r="T69" s="84"/>
      <c r="U69" s="84"/>
    </row>
    <row r="70" spans="1:21" x14ac:dyDescent="0.3">
      <c r="A70" s="85"/>
      <c r="B70" s="85"/>
      <c r="C70" s="85"/>
      <c r="D70" s="85"/>
      <c r="E70" s="134"/>
      <c r="F70" s="85"/>
      <c r="G70" s="84"/>
      <c r="H70" s="84"/>
      <c r="I70" s="84"/>
      <c r="J70" s="84"/>
      <c r="K70" s="84"/>
      <c r="L70" s="84"/>
      <c r="M70" s="84"/>
      <c r="N70" s="84"/>
      <c r="O70" s="84"/>
      <c r="P70" s="84"/>
      <c r="Q70" s="84"/>
      <c r="R70" s="84"/>
      <c r="S70" s="84"/>
      <c r="T70" s="84"/>
      <c r="U70" s="84"/>
    </row>
    <row r="71" spans="1:21" x14ac:dyDescent="0.3">
      <c r="A71" s="85"/>
      <c r="B71" s="85"/>
      <c r="C71" s="85"/>
      <c r="D71" s="85"/>
      <c r="E71" s="134"/>
      <c r="F71" s="85"/>
      <c r="G71" s="84"/>
      <c r="H71" s="84"/>
      <c r="I71" s="84"/>
      <c r="J71" s="84"/>
      <c r="K71" s="84"/>
      <c r="L71" s="84"/>
      <c r="M71" s="84"/>
      <c r="N71" s="84"/>
      <c r="O71" s="84"/>
      <c r="P71" s="84"/>
      <c r="Q71" s="84"/>
      <c r="R71" s="84"/>
      <c r="S71" s="84"/>
      <c r="T71" s="84"/>
      <c r="U71" s="84"/>
    </row>
    <row r="72" spans="1:21" x14ac:dyDescent="0.3">
      <c r="A72" s="85"/>
      <c r="B72" s="85"/>
      <c r="C72" s="85"/>
      <c r="D72" s="85"/>
      <c r="E72" s="134"/>
      <c r="F72" s="85"/>
      <c r="G72" s="84"/>
      <c r="H72" s="84"/>
      <c r="I72" s="84"/>
      <c r="J72" s="84"/>
      <c r="K72" s="84"/>
      <c r="L72" s="84"/>
      <c r="M72" s="84"/>
      <c r="N72" s="84"/>
      <c r="O72" s="84"/>
      <c r="P72" s="84"/>
      <c r="Q72" s="84"/>
      <c r="R72" s="84"/>
      <c r="S72" s="84"/>
      <c r="T72" s="84"/>
      <c r="U72" s="84"/>
    </row>
    <row r="73" spans="1:21" x14ac:dyDescent="0.3">
      <c r="A73" s="85"/>
      <c r="B73" s="85"/>
      <c r="C73" s="85"/>
      <c r="D73" s="85"/>
      <c r="E73" s="134"/>
      <c r="F73" s="85"/>
      <c r="G73" s="84"/>
      <c r="H73" s="84"/>
      <c r="I73" s="84"/>
      <c r="J73" s="84"/>
      <c r="K73" s="84"/>
      <c r="L73" s="84"/>
      <c r="M73" s="84"/>
      <c r="N73" s="84"/>
      <c r="O73" s="84"/>
      <c r="P73" s="84"/>
      <c r="Q73" s="84"/>
      <c r="R73" s="84"/>
      <c r="S73" s="84"/>
      <c r="T73" s="84"/>
      <c r="U73" s="84"/>
    </row>
    <row r="74" spans="1:21" x14ac:dyDescent="0.3">
      <c r="A74" s="85"/>
      <c r="B74" s="85"/>
      <c r="C74" s="85"/>
      <c r="D74" s="85"/>
      <c r="E74" s="134"/>
      <c r="F74" s="85"/>
      <c r="G74" s="84"/>
      <c r="H74" s="84"/>
      <c r="I74" s="84"/>
      <c r="J74" s="84"/>
      <c r="K74" s="84"/>
      <c r="L74" s="84"/>
      <c r="M74" s="84"/>
      <c r="N74" s="84"/>
      <c r="O74" s="84"/>
      <c r="P74" s="84"/>
      <c r="Q74" s="84"/>
      <c r="R74" s="84"/>
      <c r="S74" s="84"/>
      <c r="T74" s="84"/>
      <c r="U74" s="84"/>
    </row>
    <row r="75" spans="1:21" x14ac:dyDescent="0.3">
      <c r="A75" s="85"/>
      <c r="B75" s="85"/>
      <c r="C75" s="85"/>
      <c r="D75" s="85"/>
      <c r="E75" s="134"/>
      <c r="F75" s="85"/>
      <c r="G75" s="84"/>
      <c r="H75" s="84"/>
      <c r="I75" s="84"/>
      <c r="J75" s="84"/>
      <c r="K75" s="84"/>
      <c r="L75" s="84"/>
      <c r="M75" s="84"/>
      <c r="N75" s="84"/>
      <c r="O75" s="84"/>
      <c r="P75" s="84"/>
      <c r="Q75" s="84"/>
      <c r="R75" s="84"/>
      <c r="S75" s="84"/>
      <c r="T75" s="84"/>
      <c r="U75" s="84"/>
    </row>
    <row r="76" spans="1:21" x14ac:dyDescent="0.3">
      <c r="A76" s="85"/>
      <c r="B76" s="85"/>
      <c r="C76" s="85"/>
      <c r="D76" s="85"/>
      <c r="E76" s="134"/>
      <c r="F76" s="85"/>
      <c r="G76" s="84"/>
      <c r="H76" s="84"/>
      <c r="I76" s="84"/>
      <c r="J76" s="84"/>
      <c r="K76" s="84"/>
      <c r="L76" s="84"/>
      <c r="M76" s="84"/>
      <c r="N76" s="84"/>
      <c r="O76" s="84"/>
      <c r="P76" s="84"/>
      <c r="Q76" s="84"/>
      <c r="R76" s="84"/>
      <c r="S76" s="84"/>
      <c r="T76" s="84"/>
      <c r="U76" s="84"/>
    </row>
    <row r="77" spans="1:21" x14ac:dyDescent="0.3">
      <c r="A77" s="85"/>
      <c r="B77" s="85"/>
      <c r="C77" s="85"/>
      <c r="D77" s="85"/>
      <c r="E77" s="134"/>
      <c r="F77" s="85"/>
      <c r="G77" s="84"/>
      <c r="H77" s="84"/>
      <c r="I77" s="84"/>
      <c r="J77" s="84"/>
      <c r="K77" s="84"/>
      <c r="L77" s="84"/>
      <c r="M77" s="84"/>
      <c r="N77" s="84"/>
      <c r="O77" s="84"/>
      <c r="P77" s="84"/>
      <c r="Q77" s="84"/>
      <c r="R77" s="84"/>
      <c r="S77" s="84"/>
      <c r="T77" s="84"/>
      <c r="U77" s="84"/>
    </row>
    <row r="78" spans="1:21" x14ac:dyDescent="0.3">
      <c r="A78" s="85"/>
      <c r="B78" s="85"/>
      <c r="C78" s="85"/>
      <c r="D78" s="85"/>
      <c r="E78" s="134"/>
      <c r="F78" s="85"/>
      <c r="G78" s="84"/>
      <c r="H78" s="84"/>
      <c r="I78" s="84"/>
      <c r="J78" s="84"/>
      <c r="K78" s="84"/>
      <c r="L78" s="84"/>
      <c r="M78" s="84"/>
      <c r="N78" s="84"/>
      <c r="O78" s="84"/>
      <c r="P78" s="84"/>
      <c r="Q78" s="84"/>
      <c r="R78" s="84"/>
      <c r="S78" s="84"/>
      <c r="T78" s="84"/>
      <c r="U78" s="84"/>
    </row>
    <row r="79" spans="1:21" x14ac:dyDescent="0.3">
      <c r="A79" s="85"/>
      <c r="B79" s="85"/>
      <c r="C79" s="85"/>
      <c r="D79" s="85"/>
      <c r="E79" s="134"/>
      <c r="F79" s="85"/>
      <c r="G79" s="84"/>
      <c r="H79" s="84"/>
      <c r="I79" s="84"/>
      <c r="J79" s="84"/>
      <c r="K79" s="84"/>
      <c r="L79" s="84"/>
      <c r="M79" s="84"/>
      <c r="N79" s="84"/>
      <c r="O79" s="84"/>
      <c r="P79" s="84"/>
      <c r="Q79" s="84"/>
      <c r="R79" s="84"/>
      <c r="S79" s="84"/>
      <c r="T79" s="84"/>
      <c r="U79" s="84"/>
    </row>
    <row r="80" spans="1:21" x14ac:dyDescent="0.3">
      <c r="A80" s="85"/>
      <c r="B80" s="85"/>
      <c r="C80" s="85"/>
      <c r="D80" s="85"/>
      <c r="E80" s="134"/>
      <c r="F80" s="85"/>
      <c r="G80" s="84"/>
      <c r="H80" s="84"/>
      <c r="I80" s="84"/>
      <c r="J80" s="84"/>
      <c r="K80" s="84"/>
      <c r="L80" s="84"/>
      <c r="M80" s="84"/>
      <c r="N80" s="84"/>
      <c r="O80" s="84"/>
      <c r="P80" s="84"/>
      <c r="Q80" s="84"/>
      <c r="R80" s="84"/>
      <c r="S80" s="84"/>
      <c r="T80" s="84"/>
      <c r="U80" s="84"/>
    </row>
    <row r="81" spans="1:21" x14ac:dyDescent="0.3">
      <c r="A81" s="85"/>
      <c r="B81" s="85"/>
      <c r="C81" s="85"/>
      <c r="D81" s="85"/>
      <c r="E81" s="134"/>
      <c r="F81" s="85"/>
      <c r="G81" s="84"/>
      <c r="H81" s="84"/>
      <c r="I81" s="84"/>
      <c r="J81" s="84"/>
      <c r="K81" s="84"/>
      <c r="L81" s="84"/>
      <c r="M81" s="84"/>
      <c r="N81" s="84"/>
      <c r="O81" s="84"/>
      <c r="P81" s="84"/>
      <c r="Q81" s="84"/>
      <c r="R81" s="84"/>
      <c r="S81" s="84"/>
      <c r="T81" s="84"/>
      <c r="U81" s="84"/>
    </row>
    <row r="82" spans="1:21" x14ac:dyDescent="0.3">
      <c r="A82" s="85"/>
      <c r="B82" s="85"/>
      <c r="C82" s="85"/>
      <c r="D82" s="85"/>
      <c r="E82" s="134"/>
      <c r="F82" s="85"/>
      <c r="G82" s="84"/>
      <c r="H82" s="84"/>
      <c r="I82" s="84"/>
      <c r="J82" s="84"/>
      <c r="K82" s="84"/>
      <c r="L82" s="84"/>
      <c r="M82" s="84"/>
      <c r="N82" s="84"/>
      <c r="O82" s="84"/>
      <c r="P82" s="84"/>
      <c r="Q82" s="84"/>
      <c r="R82" s="84"/>
      <c r="S82" s="84"/>
      <c r="T82" s="84"/>
      <c r="U82" s="84"/>
    </row>
    <row r="83" spans="1:21" x14ac:dyDescent="0.3">
      <c r="A83" s="85"/>
      <c r="B83" s="85"/>
      <c r="C83" s="85"/>
      <c r="D83" s="85"/>
      <c r="E83" s="134"/>
      <c r="F83" s="85"/>
      <c r="G83" s="84"/>
      <c r="H83" s="84"/>
      <c r="I83" s="84"/>
      <c r="J83" s="84"/>
      <c r="K83" s="84"/>
      <c r="L83" s="84"/>
      <c r="M83" s="84"/>
      <c r="N83" s="84"/>
      <c r="O83" s="84"/>
      <c r="P83" s="84"/>
      <c r="Q83" s="84"/>
      <c r="R83" s="84"/>
      <c r="S83" s="84"/>
      <c r="T83" s="84"/>
      <c r="U83" s="84"/>
    </row>
    <row r="84" spans="1:21" x14ac:dyDescent="0.3">
      <c r="A84" s="85"/>
      <c r="B84" s="85"/>
      <c r="C84" s="85"/>
      <c r="D84" s="85"/>
      <c r="E84" s="134"/>
      <c r="F84" s="85"/>
      <c r="G84" s="84"/>
      <c r="H84" s="84"/>
      <c r="I84" s="84"/>
      <c r="J84" s="84"/>
      <c r="K84" s="84"/>
      <c r="L84" s="84"/>
      <c r="M84" s="84"/>
      <c r="N84" s="84"/>
      <c r="O84" s="84"/>
      <c r="P84" s="84"/>
      <c r="Q84" s="84"/>
      <c r="R84" s="84"/>
      <c r="S84" s="84"/>
      <c r="T84" s="84"/>
      <c r="U84" s="84"/>
    </row>
    <row r="85" spans="1:21" x14ac:dyDescent="0.3">
      <c r="A85" s="85"/>
      <c r="B85" s="85"/>
      <c r="C85" s="85"/>
      <c r="D85" s="85"/>
      <c r="E85" s="134"/>
      <c r="F85" s="85"/>
      <c r="G85" s="84"/>
      <c r="H85" s="84"/>
      <c r="I85" s="84"/>
      <c r="J85" s="84"/>
      <c r="K85" s="84"/>
      <c r="L85" s="84"/>
      <c r="M85" s="84"/>
      <c r="N85" s="84"/>
      <c r="O85" s="84"/>
      <c r="P85" s="84"/>
      <c r="Q85" s="84"/>
      <c r="R85" s="84"/>
      <c r="S85" s="84"/>
      <c r="T85" s="84"/>
      <c r="U85" s="84"/>
    </row>
    <row r="86" spans="1:21" x14ac:dyDescent="0.3">
      <c r="A86" s="85"/>
      <c r="B86" s="85"/>
      <c r="C86" s="85"/>
      <c r="D86" s="85"/>
      <c r="E86" s="134"/>
      <c r="F86" s="85"/>
      <c r="G86" s="84"/>
      <c r="H86" s="84"/>
      <c r="I86" s="84"/>
      <c r="J86" s="84"/>
      <c r="K86" s="84"/>
      <c r="L86" s="84"/>
      <c r="M86" s="84"/>
      <c r="N86" s="84"/>
      <c r="O86" s="84"/>
      <c r="P86" s="84"/>
      <c r="Q86" s="84"/>
      <c r="R86" s="84"/>
      <c r="S86" s="84"/>
      <c r="T86" s="84"/>
      <c r="U86" s="84"/>
    </row>
    <row r="87" spans="1:21" x14ac:dyDescent="0.3">
      <c r="A87" s="85"/>
      <c r="B87" s="85"/>
      <c r="C87" s="85"/>
      <c r="D87" s="85"/>
      <c r="E87" s="134"/>
      <c r="F87" s="85"/>
      <c r="G87" s="84"/>
      <c r="H87" s="84"/>
      <c r="I87" s="84"/>
      <c r="J87" s="84"/>
      <c r="K87" s="84"/>
      <c r="L87" s="84"/>
      <c r="M87" s="84"/>
      <c r="N87" s="84"/>
      <c r="O87" s="84"/>
      <c r="P87" s="84"/>
      <c r="Q87" s="84"/>
      <c r="R87" s="84"/>
      <c r="S87" s="84"/>
      <c r="T87" s="84"/>
      <c r="U87" s="84"/>
    </row>
    <row r="88" spans="1:21" x14ac:dyDescent="0.3">
      <c r="A88" s="85"/>
      <c r="B88" s="85"/>
      <c r="C88" s="85"/>
      <c r="D88" s="85"/>
      <c r="E88" s="134"/>
      <c r="F88" s="85"/>
      <c r="G88" s="84"/>
      <c r="H88" s="84"/>
      <c r="I88" s="84"/>
      <c r="J88" s="84"/>
      <c r="K88" s="84"/>
      <c r="L88" s="84"/>
      <c r="M88" s="84"/>
      <c r="N88" s="84"/>
      <c r="O88" s="84"/>
      <c r="P88" s="84"/>
      <c r="Q88" s="84"/>
      <c r="R88" s="84"/>
      <c r="S88" s="84"/>
      <c r="T88" s="84"/>
      <c r="U88" s="84"/>
    </row>
    <row r="89" spans="1:21" x14ac:dyDescent="0.3">
      <c r="A89" s="85"/>
      <c r="B89" s="85"/>
      <c r="C89" s="85"/>
      <c r="D89" s="85"/>
      <c r="E89" s="134"/>
      <c r="F89" s="85"/>
      <c r="G89" s="84"/>
      <c r="H89" s="84"/>
      <c r="I89" s="84"/>
      <c r="J89" s="84"/>
      <c r="K89" s="84"/>
      <c r="L89" s="84"/>
      <c r="M89" s="84"/>
      <c r="N89" s="84"/>
      <c r="O89" s="84"/>
      <c r="P89" s="84"/>
      <c r="Q89" s="84"/>
      <c r="R89" s="84"/>
      <c r="S89" s="84"/>
      <c r="T89" s="84"/>
      <c r="U89" s="84"/>
    </row>
    <row r="90" spans="1:21" x14ac:dyDescent="0.3">
      <c r="A90" s="85"/>
      <c r="B90" s="85"/>
      <c r="C90" s="85"/>
      <c r="D90" s="85"/>
      <c r="E90" s="134"/>
      <c r="F90" s="85"/>
      <c r="G90" s="84"/>
      <c r="H90" s="84"/>
      <c r="I90" s="84"/>
      <c r="J90" s="84"/>
      <c r="K90" s="84"/>
      <c r="L90" s="84"/>
      <c r="M90" s="84"/>
      <c r="N90" s="84"/>
      <c r="O90" s="84"/>
      <c r="P90" s="84"/>
      <c r="Q90" s="84"/>
      <c r="R90" s="84"/>
      <c r="S90" s="84"/>
      <c r="T90" s="84"/>
      <c r="U90" s="84"/>
    </row>
    <row r="91" spans="1:21" x14ac:dyDescent="0.3">
      <c r="A91" s="85"/>
      <c r="B91" s="85"/>
      <c r="C91" s="85"/>
      <c r="D91" s="85"/>
      <c r="E91" s="134"/>
      <c r="F91" s="85"/>
      <c r="G91" s="84"/>
      <c r="H91" s="84"/>
      <c r="I91" s="84"/>
      <c r="J91" s="84"/>
      <c r="K91" s="84"/>
      <c r="L91" s="84"/>
      <c r="M91" s="84"/>
      <c r="N91" s="84"/>
      <c r="O91" s="84"/>
      <c r="P91" s="84"/>
      <c r="Q91" s="84"/>
      <c r="R91" s="84"/>
      <c r="S91" s="84"/>
      <c r="T91" s="84"/>
      <c r="U91" s="84"/>
    </row>
    <row r="92" spans="1:21" x14ac:dyDescent="0.3">
      <c r="A92" s="85"/>
      <c r="B92" s="85"/>
      <c r="C92" s="85"/>
      <c r="D92" s="85"/>
      <c r="E92" s="134"/>
      <c r="F92" s="85"/>
      <c r="G92" s="84"/>
      <c r="H92" s="84"/>
      <c r="I92" s="84"/>
      <c r="J92" s="84"/>
      <c r="K92" s="84"/>
      <c r="L92" s="84"/>
      <c r="M92" s="84"/>
      <c r="N92" s="84"/>
      <c r="O92" s="84"/>
      <c r="P92" s="84"/>
      <c r="Q92" s="84"/>
      <c r="R92" s="84"/>
      <c r="S92" s="84"/>
      <c r="T92" s="84"/>
      <c r="U92" s="84"/>
    </row>
    <row r="93" spans="1:21" x14ac:dyDescent="0.3">
      <c r="A93" s="85"/>
      <c r="B93" s="85"/>
      <c r="C93" s="85"/>
      <c r="D93" s="85"/>
      <c r="E93" s="134"/>
      <c r="F93" s="85"/>
      <c r="G93" s="84"/>
      <c r="H93" s="84"/>
      <c r="I93" s="84"/>
      <c r="J93" s="84"/>
      <c r="K93" s="84"/>
      <c r="L93" s="84"/>
      <c r="M93" s="84"/>
      <c r="N93" s="84"/>
      <c r="O93" s="84"/>
      <c r="P93" s="84"/>
      <c r="Q93" s="84"/>
      <c r="R93" s="84"/>
      <c r="S93" s="84"/>
      <c r="T93" s="84"/>
      <c r="U93" s="84"/>
    </row>
    <row r="94" spans="1:21" x14ac:dyDescent="0.3">
      <c r="A94" s="85"/>
      <c r="B94" s="85"/>
      <c r="C94" s="85"/>
      <c r="D94" s="85"/>
      <c r="E94" s="134"/>
      <c r="F94" s="85"/>
      <c r="G94" s="84"/>
      <c r="H94" s="84"/>
      <c r="I94" s="84"/>
      <c r="J94" s="84"/>
      <c r="K94" s="84"/>
      <c r="L94" s="84"/>
      <c r="M94" s="84"/>
      <c r="N94" s="84"/>
      <c r="O94" s="84"/>
      <c r="P94" s="84"/>
      <c r="Q94" s="84"/>
      <c r="R94" s="84"/>
      <c r="S94" s="84"/>
      <c r="T94" s="84"/>
      <c r="U94" s="84"/>
    </row>
    <row r="95" spans="1:21" x14ac:dyDescent="0.3">
      <c r="A95" s="85"/>
      <c r="B95" s="85"/>
      <c r="C95" s="85"/>
      <c r="D95" s="85"/>
      <c r="E95" s="134"/>
      <c r="F95" s="85"/>
      <c r="G95" s="84"/>
      <c r="H95" s="84"/>
      <c r="I95" s="84"/>
      <c r="J95" s="84"/>
      <c r="K95" s="84"/>
      <c r="L95" s="84"/>
      <c r="M95" s="84"/>
      <c r="N95" s="84"/>
      <c r="O95" s="84"/>
      <c r="P95" s="84"/>
      <c r="Q95" s="84"/>
      <c r="R95" s="84"/>
      <c r="S95" s="84"/>
      <c r="T95" s="84"/>
      <c r="U95" s="84"/>
    </row>
    <row r="96" spans="1:21" x14ac:dyDescent="0.3">
      <c r="A96" s="85"/>
      <c r="B96" s="85"/>
      <c r="C96" s="85"/>
      <c r="D96" s="85"/>
      <c r="E96" s="134"/>
      <c r="F96" s="85"/>
      <c r="G96" s="84"/>
      <c r="H96" s="84"/>
      <c r="I96" s="84"/>
      <c r="J96" s="84"/>
      <c r="K96" s="84"/>
      <c r="L96" s="84"/>
      <c r="M96" s="84"/>
      <c r="N96" s="84"/>
      <c r="O96" s="84"/>
      <c r="P96" s="84"/>
      <c r="Q96" s="84"/>
      <c r="R96" s="84"/>
      <c r="S96" s="84"/>
      <c r="T96" s="84"/>
      <c r="U96" s="84"/>
    </row>
    <row r="97" spans="1:21" x14ac:dyDescent="0.3">
      <c r="A97" s="85"/>
      <c r="B97" s="85"/>
      <c r="C97" s="85"/>
      <c r="D97" s="85"/>
      <c r="E97" s="134"/>
      <c r="F97" s="85"/>
      <c r="G97" s="84"/>
      <c r="H97" s="84"/>
      <c r="I97" s="84"/>
      <c r="J97" s="84"/>
      <c r="K97" s="84"/>
      <c r="L97" s="84"/>
      <c r="M97" s="84"/>
      <c r="N97" s="84"/>
      <c r="O97" s="84"/>
      <c r="P97" s="84"/>
      <c r="Q97" s="84"/>
      <c r="R97" s="84"/>
      <c r="S97" s="84"/>
      <c r="T97" s="84"/>
      <c r="U97" s="84"/>
    </row>
    <row r="98" spans="1:21" x14ac:dyDescent="0.3">
      <c r="A98" s="85"/>
      <c r="B98" s="85"/>
      <c r="C98" s="85"/>
      <c r="D98" s="85"/>
      <c r="E98" s="134"/>
      <c r="F98" s="85"/>
      <c r="G98" s="84"/>
      <c r="H98" s="84"/>
      <c r="I98" s="84"/>
      <c r="J98" s="84"/>
      <c r="K98" s="84"/>
      <c r="L98" s="84"/>
      <c r="M98" s="84"/>
      <c r="N98" s="84"/>
      <c r="O98" s="84"/>
      <c r="P98" s="84"/>
      <c r="Q98" s="84"/>
      <c r="R98" s="84"/>
      <c r="S98" s="84"/>
      <c r="T98" s="84"/>
      <c r="U98" s="84"/>
    </row>
    <row r="99" spans="1:21" x14ac:dyDescent="0.3">
      <c r="A99" s="85"/>
      <c r="B99" s="85"/>
      <c r="C99" s="85"/>
      <c r="D99" s="85"/>
      <c r="E99" s="134"/>
      <c r="F99" s="85"/>
      <c r="G99" s="84"/>
      <c r="H99" s="84"/>
      <c r="I99" s="84"/>
      <c r="J99" s="84"/>
      <c r="K99" s="84"/>
      <c r="L99" s="84"/>
      <c r="M99" s="84"/>
      <c r="N99" s="84"/>
      <c r="O99" s="84"/>
      <c r="P99" s="84"/>
      <c r="Q99" s="84"/>
      <c r="R99" s="84"/>
      <c r="S99" s="84"/>
      <c r="T99" s="84"/>
      <c r="U99" s="84"/>
    </row>
    <row r="100" spans="1:21" x14ac:dyDescent="0.3">
      <c r="A100" s="85"/>
      <c r="B100" s="85"/>
      <c r="C100" s="85"/>
      <c r="D100" s="85"/>
      <c r="E100" s="134"/>
      <c r="F100" s="85"/>
      <c r="G100" s="84"/>
      <c r="H100" s="84"/>
      <c r="I100" s="84"/>
      <c r="J100" s="84"/>
      <c r="K100" s="84"/>
      <c r="L100" s="84"/>
      <c r="M100" s="84"/>
      <c r="N100" s="84"/>
      <c r="O100" s="84"/>
      <c r="P100" s="84"/>
      <c r="Q100" s="84"/>
      <c r="R100" s="84"/>
      <c r="S100" s="84"/>
      <c r="T100" s="84"/>
      <c r="U100" s="84"/>
    </row>
    <row r="101" spans="1:21" x14ac:dyDescent="0.3">
      <c r="A101" s="85"/>
      <c r="B101" s="85"/>
      <c r="C101" s="85"/>
      <c r="D101" s="85"/>
      <c r="E101" s="134"/>
      <c r="F101" s="85"/>
      <c r="G101" s="84"/>
      <c r="H101" s="84"/>
      <c r="I101" s="84"/>
      <c r="J101" s="84"/>
      <c r="K101" s="84"/>
      <c r="L101" s="84"/>
      <c r="M101" s="84"/>
      <c r="N101" s="84"/>
      <c r="O101" s="84"/>
      <c r="P101" s="84"/>
      <c r="Q101" s="84"/>
      <c r="R101" s="84"/>
      <c r="S101" s="84"/>
      <c r="T101" s="84"/>
      <c r="U101" s="84"/>
    </row>
    <row r="102" spans="1:21" x14ac:dyDescent="0.3">
      <c r="A102" s="85"/>
      <c r="B102" s="85"/>
      <c r="C102" s="85"/>
      <c r="D102" s="85"/>
      <c r="E102" s="134"/>
      <c r="F102" s="85"/>
      <c r="G102" s="84"/>
      <c r="H102" s="84"/>
      <c r="I102" s="84"/>
      <c r="J102" s="84"/>
      <c r="K102" s="84"/>
      <c r="L102" s="84"/>
      <c r="M102" s="84"/>
      <c r="N102" s="84"/>
      <c r="O102" s="84"/>
      <c r="P102" s="84"/>
      <c r="Q102" s="84"/>
      <c r="R102" s="84"/>
      <c r="S102" s="84"/>
      <c r="T102" s="84"/>
      <c r="U102" s="84"/>
    </row>
    <row r="103" spans="1:21" x14ac:dyDescent="0.3">
      <c r="A103" s="85"/>
      <c r="B103" s="85"/>
      <c r="C103" s="85"/>
      <c r="D103" s="85"/>
      <c r="E103" s="134"/>
      <c r="F103" s="85"/>
      <c r="G103" s="84"/>
      <c r="H103" s="84"/>
      <c r="I103" s="84"/>
      <c r="J103" s="84"/>
      <c r="K103" s="84"/>
      <c r="L103" s="84"/>
      <c r="M103" s="84"/>
      <c r="N103" s="84"/>
      <c r="O103" s="84"/>
      <c r="P103" s="84"/>
      <c r="Q103" s="84"/>
      <c r="R103" s="84"/>
      <c r="S103" s="84"/>
      <c r="T103" s="84"/>
      <c r="U103" s="84"/>
    </row>
    <row r="104" spans="1:21" x14ac:dyDescent="0.3">
      <c r="A104" s="85"/>
      <c r="B104" s="85"/>
      <c r="C104" s="85"/>
      <c r="D104" s="85"/>
      <c r="E104" s="134"/>
      <c r="F104" s="85"/>
      <c r="G104" s="84"/>
      <c r="H104" s="84"/>
      <c r="I104" s="84"/>
      <c r="J104" s="84"/>
      <c r="K104" s="84"/>
      <c r="L104" s="84"/>
      <c r="M104" s="84"/>
      <c r="N104" s="84"/>
      <c r="O104" s="84"/>
      <c r="P104" s="84"/>
      <c r="Q104" s="84"/>
      <c r="R104" s="84"/>
      <c r="S104" s="84"/>
      <c r="T104" s="84"/>
      <c r="U104" s="84"/>
    </row>
    <row r="105" spans="1:21" x14ac:dyDescent="0.3">
      <c r="A105" s="85"/>
      <c r="B105" s="85"/>
      <c r="C105" s="85"/>
      <c r="D105" s="85"/>
      <c r="E105" s="134"/>
      <c r="F105" s="85"/>
      <c r="G105" s="84"/>
      <c r="H105" s="84"/>
      <c r="I105" s="84"/>
      <c r="J105" s="84"/>
      <c r="K105" s="84"/>
      <c r="L105" s="84"/>
      <c r="M105" s="84"/>
      <c r="N105" s="84"/>
      <c r="O105" s="84"/>
      <c r="P105" s="84"/>
      <c r="Q105" s="84"/>
      <c r="R105" s="84"/>
      <c r="S105" s="84"/>
      <c r="T105" s="84"/>
      <c r="U105" s="84"/>
    </row>
    <row r="106" spans="1:21" x14ac:dyDescent="0.3">
      <c r="A106" s="85"/>
      <c r="B106" s="85"/>
      <c r="C106" s="85"/>
      <c r="D106" s="85"/>
      <c r="E106" s="134"/>
      <c r="F106" s="85"/>
      <c r="G106" s="84"/>
      <c r="H106" s="84"/>
      <c r="I106" s="84"/>
      <c r="J106" s="84"/>
      <c r="K106" s="84"/>
      <c r="L106" s="84"/>
      <c r="M106" s="84"/>
      <c r="N106" s="84"/>
      <c r="O106" s="84"/>
      <c r="P106" s="84"/>
      <c r="Q106" s="84"/>
      <c r="R106" s="84"/>
      <c r="S106" s="84"/>
      <c r="T106" s="84"/>
      <c r="U106" s="84"/>
    </row>
    <row r="107" spans="1:21" x14ac:dyDescent="0.3">
      <c r="A107" s="85"/>
      <c r="B107" s="85"/>
      <c r="C107" s="85"/>
      <c r="D107" s="85"/>
      <c r="E107" s="134"/>
      <c r="F107" s="85"/>
      <c r="G107" s="84"/>
      <c r="H107" s="84"/>
      <c r="I107" s="84"/>
      <c r="J107" s="84"/>
      <c r="K107" s="84"/>
      <c r="L107" s="84"/>
      <c r="M107" s="84"/>
      <c r="N107" s="84"/>
      <c r="O107" s="84"/>
      <c r="P107" s="84"/>
      <c r="Q107" s="84"/>
      <c r="R107" s="84"/>
      <c r="S107" s="84"/>
      <c r="T107" s="84"/>
      <c r="U107" s="84"/>
    </row>
    <row r="108" spans="1:21" x14ac:dyDescent="0.3">
      <c r="A108" s="85"/>
      <c r="B108" s="85"/>
      <c r="C108" s="85"/>
      <c r="D108" s="85"/>
      <c r="E108" s="134"/>
      <c r="F108" s="85"/>
      <c r="G108" s="84"/>
      <c r="H108" s="84"/>
      <c r="I108" s="84"/>
      <c r="J108" s="84"/>
      <c r="K108" s="84"/>
      <c r="L108" s="84"/>
      <c r="M108" s="84"/>
      <c r="N108" s="84"/>
      <c r="O108" s="84"/>
      <c r="P108" s="84"/>
      <c r="Q108" s="84"/>
      <c r="R108" s="84"/>
      <c r="S108" s="84"/>
      <c r="T108" s="84"/>
      <c r="U108" s="84"/>
    </row>
    <row r="109" spans="1:21" x14ac:dyDescent="0.3">
      <c r="A109" s="85"/>
      <c r="B109" s="85"/>
      <c r="C109" s="85"/>
      <c r="D109" s="85"/>
      <c r="E109" s="134"/>
      <c r="F109" s="85"/>
      <c r="G109" s="84"/>
      <c r="H109" s="84"/>
      <c r="I109" s="84"/>
      <c r="J109" s="84"/>
      <c r="K109" s="84"/>
      <c r="L109" s="84"/>
      <c r="M109" s="84"/>
      <c r="N109" s="84"/>
      <c r="O109" s="84"/>
      <c r="P109" s="84"/>
      <c r="Q109" s="84"/>
      <c r="R109" s="84"/>
      <c r="S109" s="84"/>
      <c r="T109" s="84"/>
      <c r="U109" s="84"/>
    </row>
    <row r="110" spans="1:21" x14ac:dyDescent="0.3">
      <c r="A110" s="85"/>
      <c r="B110" s="85"/>
      <c r="C110" s="85"/>
      <c r="D110" s="85"/>
      <c r="E110" s="134"/>
      <c r="F110" s="85"/>
      <c r="G110" s="84"/>
      <c r="H110" s="84"/>
      <c r="I110" s="84"/>
      <c r="J110" s="84"/>
      <c r="K110" s="84"/>
      <c r="L110" s="84"/>
      <c r="M110" s="84"/>
      <c r="N110" s="84"/>
      <c r="O110" s="84"/>
      <c r="P110" s="84"/>
      <c r="Q110" s="84"/>
      <c r="R110" s="84"/>
      <c r="S110" s="84"/>
      <c r="T110" s="84"/>
      <c r="U110" s="84"/>
    </row>
    <row r="111" spans="1:21" x14ac:dyDescent="0.3">
      <c r="A111" s="85"/>
      <c r="B111" s="85"/>
      <c r="C111" s="85"/>
      <c r="D111" s="85"/>
      <c r="E111" s="134"/>
      <c r="F111" s="85"/>
      <c r="G111" s="84"/>
      <c r="H111" s="84"/>
      <c r="I111" s="84"/>
      <c r="J111" s="84"/>
      <c r="K111" s="84"/>
      <c r="L111" s="84"/>
      <c r="M111" s="84"/>
      <c r="N111" s="84"/>
      <c r="O111" s="84"/>
      <c r="P111" s="84"/>
      <c r="Q111" s="84"/>
      <c r="R111" s="84"/>
      <c r="S111" s="84"/>
      <c r="T111" s="84"/>
      <c r="U111" s="84"/>
    </row>
    <row r="112" spans="1:21" x14ac:dyDescent="0.3">
      <c r="A112" s="85"/>
      <c r="B112" s="85"/>
      <c r="C112" s="85"/>
      <c r="D112" s="85"/>
      <c r="E112" s="134"/>
      <c r="F112" s="85"/>
      <c r="G112" s="84"/>
      <c r="H112" s="84"/>
      <c r="I112" s="84"/>
      <c r="J112" s="84"/>
      <c r="K112" s="84"/>
      <c r="L112" s="84"/>
      <c r="M112" s="84"/>
      <c r="N112" s="84"/>
      <c r="O112" s="84"/>
      <c r="P112" s="84"/>
      <c r="Q112" s="84"/>
      <c r="R112" s="84"/>
      <c r="S112" s="84"/>
      <c r="T112" s="84"/>
      <c r="U112" s="84"/>
    </row>
    <row r="113" spans="1:21" x14ac:dyDescent="0.3">
      <c r="A113" s="85"/>
      <c r="B113" s="85"/>
      <c r="C113" s="85"/>
      <c r="D113" s="85"/>
      <c r="E113" s="134"/>
      <c r="F113" s="85"/>
      <c r="G113" s="84"/>
      <c r="H113" s="84"/>
      <c r="I113" s="84"/>
      <c r="J113" s="84"/>
      <c r="K113" s="84"/>
      <c r="L113" s="84"/>
      <c r="M113" s="84"/>
      <c r="N113" s="84"/>
      <c r="O113" s="84"/>
      <c r="P113" s="84"/>
      <c r="Q113" s="84"/>
      <c r="R113" s="84"/>
      <c r="S113" s="84"/>
      <c r="T113" s="84"/>
      <c r="U113" s="84"/>
    </row>
    <row r="114" spans="1:21" x14ac:dyDescent="0.3">
      <c r="A114" s="85"/>
      <c r="B114" s="85"/>
      <c r="C114" s="85"/>
      <c r="D114" s="85"/>
      <c r="E114" s="134"/>
      <c r="F114" s="85"/>
      <c r="G114" s="84"/>
      <c r="H114" s="84"/>
      <c r="I114" s="84"/>
      <c r="J114" s="84"/>
      <c r="K114" s="84"/>
      <c r="L114" s="84"/>
      <c r="M114" s="84"/>
      <c r="N114" s="84"/>
      <c r="O114" s="84"/>
      <c r="P114" s="84"/>
      <c r="Q114" s="84"/>
      <c r="R114" s="84"/>
      <c r="S114" s="84"/>
      <c r="T114" s="84"/>
      <c r="U114" s="84"/>
    </row>
    <row r="115" spans="1:21" x14ac:dyDescent="0.3">
      <c r="A115" s="85"/>
      <c r="B115" s="85"/>
      <c r="C115" s="85"/>
      <c r="D115" s="85"/>
      <c r="E115" s="134"/>
      <c r="F115" s="85"/>
      <c r="G115" s="84"/>
      <c r="H115" s="84"/>
      <c r="I115" s="84"/>
      <c r="J115" s="84"/>
      <c r="K115" s="84"/>
      <c r="L115" s="84"/>
      <c r="M115" s="84"/>
      <c r="N115" s="84"/>
      <c r="O115" s="84"/>
      <c r="P115" s="84"/>
      <c r="Q115" s="84"/>
      <c r="R115" s="84"/>
      <c r="S115" s="84"/>
      <c r="T115" s="84"/>
      <c r="U115" s="84"/>
    </row>
    <row r="116" spans="1:21" x14ac:dyDescent="0.3">
      <c r="A116" s="85"/>
      <c r="B116" s="85"/>
      <c r="C116" s="85"/>
      <c r="D116" s="85"/>
      <c r="E116" s="134"/>
      <c r="F116" s="85"/>
      <c r="G116" s="84"/>
      <c r="H116" s="84"/>
      <c r="I116" s="84"/>
      <c r="J116" s="84"/>
      <c r="K116" s="84"/>
      <c r="L116" s="84"/>
      <c r="M116" s="84"/>
      <c r="N116" s="84"/>
      <c r="O116" s="84"/>
      <c r="P116" s="84"/>
      <c r="Q116" s="84"/>
      <c r="R116" s="84"/>
      <c r="S116" s="84"/>
      <c r="T116" s="84"/>
      <c r="U116" s="84"/>
    </row>
    <row r="117" spans="1:21" x14ac:dyDescent="0.3">
      <c r="A117" s="85"/>
      <c r="B117" s="85"/>
      <c r="C117" s="85"/>
      <c r="D117" s="85"/>
      <c r="E117" s="134"/>
      <c r="F117" s="85"/>
      <c r="G117" s="84"/>
      <c r="H117" s="84"/>
      <c r="I117" s="84"/>
      <c r="J117" s="84"/>
      <c r="K117" s="84"/>
      <c r="L117" s="84"/>
      <c r="M117" s="84"/>
      <c r="N117" s="84"/>
      <c r="O117" s="84"/>
      <c r="P117" s="84"/>
      <c r="Q117" s="84"/>
      <c r="R117" s="84"/>
      <c r="S117" s="84"/>
      <c r="T117" s="84"/>
      <c r="U117" s="84"/>
    </row>
    <row r="118" spans="1:21" x14ac:dyDescent="0.3">
      <c r="A118" s="85"/>
      <c r="B118" s="85"/>
      <c r="C118" s="85"/>
      <c r="D118" s="85"/>
      <c r="E118" s="134"/>
      <c r="F118" s="85"/>
      <c r="G118" s="84"/>
      <c r="H118" s="84"/>
      <c r="I118" s="84"/>
      <c r="J118" s="84"/>
      <c r="K118" s="84"/>
      <c r="L118" s="84"/>
      <c r="M118" s="84"/>
      <c r="N118" s="84"/>
      <c r="O118" s="84"/>
      <c r="P118" s="84"/>
      <c r="Q118" s="84"/>
      <c r="R118" s="84"/>
      <c r="S118" s="84"/>
      <c r="T118" s="84"/>
      <c r="U118" s="84"/>
    </row>
    <row r="119" spans="1:21" x14ac:dyDescent="0.3">
      <c r="A119" s="85"/>
      <c r="B119" s="85"/>
      <c r="C119" s="85"/>
      <c r="D119" s="85"/>
      <c r="E119" s="134"/>
      <c r="F119" s="85"/>
      <c r="G119" s="84"/>
      <c r="H119" s="84"/>
      <c r="I119" s="84"/>
      <c r="J119" s="84"/>
      <c r="K119" s="84"/>
      <c r="L119" s="84"/>
      <c r="M119" s="84"/>
      <c r="N119" s="84"/>
      <c r="O119" s="84"/>
      <c r="P119" s="84"/>
      <c r="Q119" s="84"/>
      <c r="R119" s="84"/>
      <c r="S119" s="84"/>
      <c r="T119" s="84"/>
      <c r="U119" s="84"/>
    </row>
    <row r="120" spans="1:21" x14ac:dyDescent="0.3">
      <c r="A120" s="85"/>
      <c r="B120" s="85"/>
      <c r="C120" s="85"/>
      <c r="D120" s="85"/>
      <c r="E120" s="134"/>
      <c r="F120" s="85"/>
      <c r="G120" s="84"/>
      <c r="H120" s="84"/>
      <c r="I120" s="84"/>
      <c r="J120" s="84"/>
      <c r="K120" s="84"/>
      <c r="L120" s="84"/>
      <c r="M120" s="84"/>
      <c r="N120" s="84"/>
      <c r="O120" s="84"/>
      <c r="P120" s="84"/>
      <c r="Q120" s="84"/>
      <c r="R120" s="84"/>
      <c r="S120" s="84"/>
      <c r="T120" s="84"/>
      <c r="U120" s="84"/>
    </row>
    <row r="121" spans="1:21" x14ac:dyDescent="0.3">
      <c r="A121" s="85"/>
      <c r="B121" s="85"/>
      <c r="C121" s="85"/>
      <c r="D121" s="85"/>
      <c r="E121" s="134"/>
      <c r="F121" s="85"/>
      <c r="G121" s="84"/>
      <c r="H121" s="84"/>
      <c r="I121" s="84"/>
      <c r="J121" s="84"/>
      <c r="K121" s="84"/>
      <c r="L121" s="84"/>
      <c r="M121" s="84"/>
      <c r="N121" s="84"/>
      <c r="O121" s="84"/>
      <c r="P121" s="84"/>
      <c r="Q121" s="84"/>
      <c r="R121" s="84"/>
      <c r="S121" s="84"/>
      <c r="T121" s="84"/>
      <c r="U121" s="84"/>
    </row>
    <row r="122" spans="1:21" x14ac:dyDescent="0.3">
      <c r="A122" s="85"/>
      <c r="B122" s="85"/>
      <c r="C122" s="85"/>
      <c r="D122" s="85"/>
      <c r="E122" s="134"/>
      <c r="F122" s="85"/>
      <c r="G122" s="84"/>
      <c r="H122" s="84"/>
      <c r="I122" s="84"/>
      <c r="J122" s="84"/>
      <c r="K122" s="84"/>
      <c r="L122" s="84"/>
      <c r="M122" s="84"/>
      <c r="N122" s="84"/>
      <c r="O122" s="84"/>
      <c r="P122" s="84"/>
      <c r="Q122" s="84"/>
      <c r="R122" s="84"/>
      <c r="S122" s="84"/>
      <c r="T122" s="84"/>
      <c r="U122" s="84"/>
    </row>
    <row r="123" spans="1:21" x14ac:dyDescent="0.3">
      <c r="A123" s="85"/>
      <c r="B123" s="85"/>
      <c r="C123" s="85"/>
      <c r="D123" s="85"/>
      <c r="E123" s="134"/>
      <c r="F123" s="85"/>
      <c r="G123" s="84"/>
      <c r="H123" s="84"/>
      <c r="I123" s="84"/>
      <c r="J123" s="84"/>
      <c r="K123" s="84"/>
      <c r="L123" s="84"/>
      <c r="M123" s="84"/>
      <c r="N123" s="84"/>
      <c r="O123" s="84"/>
      <c r="P123" s="84"/>
      <c r="Q123" s="84"/>
      <c r="R123" s="84"/>
      <c r="S123" s="84"/>
      <c r="T123" s="84"/>
      <c r="U123" s="84"/>
    </row>
    <row r="124" spans="1:21" x14ac:dyDescent="0.3">
      <c r="A124" s="85"/>
      <c r="B124" s="85"/>
      <c r="C124" s="85"/>
      <c r="D124" s="85"/>
      <c r="E124" s="134"/>
      <c r="F124" s="85"/>
      <c r="G124" s="84"/>
      <c r="H124" s="84"/>
      <c r="I124" s="84"/>
      <c r="J124" s="84"/>
      <c r="K124" s="84"/>
      <c r="L124" s="84"/>
      <c r="M124" s="84"/>
      <c r="N124" s="84"/>
      <c r="O124" s="84"/>
      <c r="P124" s="84"/>
      <c r="Q124" s="84"/>
      <c r="R124" s="84"/>
      <c r="S124" s="84"/>
      <c r="T124" s="84"/>
      <c r="U124" s="84"/>
    </row>
    <row r="125" spans="1:21" x14ac:dyDescent="0.3">
      <c r="A125" s="85"/>
      <c r="B125" s="85"/>
      <c r="C125" s="85"/>
      <c r="D125" s="85"/>
      <c r="E125" s="134"/>
      <c r="F125" s="85"/>
      <c r="G125" s="84"/>
      <c r="H125" s="84"/>
      <c r="I125" s="84"/>
      <c r="J125" s="84"/>
      <c r="K125" s="84"/>
      <c r="L125" s="84"/>
      <c r="M125" s="84"/>
      <c r="N125" s="84"/>
      <c r="O125" s="84"/>
      <c r="P125" s="84"/>
      <c r="Q125" s="84"/>
      <c r="R125" s="84"/>
      <c r="S125" s="84"/>
      <c r="T125" s="84"/>
      <c r="U125" s="84"/>
    </row>
    <row r="126" spans="1:21" x14ac:dyDescent="0.3">
      <c r="A126" s="85"/>
      <c r="B126" s="85"/>
      <c r="C126" s="85"/>
      <c r="D126" s="85"/>
      <c r="E126" s="134"/>
      <c r="F126" s="85"/>
      <c r="G126" s="84"/>
      <c r="H126" s="84"/>
      <c r="I126" s="84"/>
      <c r="J126" s="84"/>
      <c r="K126" s="84"/>
      <c r="L126" s="84"/>
      <c r="M126" s="84"/>
      <c r="N126" s="84"/>
      <c r="O126" s="84"/>
      <c r="P126" s="84"/>
      <c r="Q126" s="84"/>
      <c r="R126" s="84"/>
      <c r="S126" s="84"/>
      <c r="T126" s="84"/>
      <c r="U126" s="84"/>
    </row>
    <row r="127" spans="1:21" x14ac:dyDescent="0.3">
      <c r="A127" s="85"/>
      <c r="B127" s="85"/>
      <c r="C127" s="85"/>
      <c r="D127" s="85"/>
      <c r="E127" s="134"/>
      <c r="F127" s="85"/>
      <c r="G127" s="84"/>
      <c r="H127" s="84"/>
      <c r="I127" s="84"/>
      <c r="J127" s="84"/>
      <c r="K127" s="84"/>
      <c r="L127" s="84"/>
      <c r="M127" s="84"/>
      <c r="N127" s="84"/>
      <c r="O127" s="84"/>
      <c r="P127" s="84"/>
      <c r="Q127" s="84"/>
      <c r="R127" s="84"/>
      <c r="S127" s="84"/>
      <c r="T127" s="84"/>
      <c r="U127" s="84"/>
    </row>
    <row r="128" spans="1:21" x14ac:dyDescent="0.3">
      <c r="A128" s="85"/>
      <c r="B128" s="85"/>
      <c r="C128" s="85"/>
      <c r="D128" s="85"/>
      <c r="E128" s="134"/>
      <c r="F128" s="85"/>
      <c r="G128" s="84"/>
      <c r="H128" s="84"/>
      <c r="I128" s="84"/>
      <c r="J128" s="84"/>
      <c r="K128" s="84"/>
      <c r="L128" s="84"/>
      <c r="M128" s="84"/>
      <c r="N128" s="84"/>
      <c r="O128" s="84"/>
      <c r="P128" s="84"/>
      <c r="Q128" s="84"/>
      <c r="R128" s="84"/>
      <c r="S128" s="84"/>
      <c r="T128" s="84"/>
      <c r="U128" s="84"/>
    </row>
    <row r="129" spans="1:21" x14ac:dyDescent="0.3">
      <c r="A129" s="85"/>
      <c r="B129" s="85"/>
      <c r="C129" s="85"/>
      <c r="D129" s="85"/>
      <c r="E129" s="134"/>
      <c r="F129" s="85"/>
      <c r="G129" s="84"/>
      <c r="H129" s="84"/>
      <c r="I129" s="84"/>
      <c r="J129" s="84"/>
      <c r="K129" s="84"/>
      <c r="L129" s="84"/>
      <c r="M129" s="84"/>
      <c r="N129" s="84"/>
      <c r="O129" s="84"/>
      <c r="P129" s="84"/>
      <c r="Q129" s="84"/>
      <c r="R129" s="84"/>
      <c r="S129" s="84"/>
      <c r="T129" s="84"/>
      <c r="U129" s="84"/>
    </row>
    <row r="130" spans="1:21" x14ac:dyDescent="0.3">
      <c r="A130" s="85"/>
      <c r="B130" s="85"/>
      <c r="C130" s="85"/>
      <c r="D130" s="85"/>
      <c r="E130" s="134"/>
      <c r="F130" s="85"/>
      <c r="G130" s="84"/>
      <c r="H130" s="84"/>
      <c r="I130" s="84"/>
      <c r="J130" s="84"/>
      <c r="K130" s="84"/>
      <c r="L130" s="84"/>
      <c r="M130" s="84"/>
      <c r="N130" s="84"/>
      <c r="O130" s="84"/>
      <c r="P130" s="84"/>
      <c r="Q130" s="84"/>
      <c r="R130" s="84"/>
      <c r="S130" s="84"/>
      <c r="T130" s="84"/>
      <c r="U130" s="84"/>
    </row>
    <row r="131" spans="1:21" x14ac:dyDescent="0.3">
      <c r="A131" s="85"/>
      <c r="B131" s="85"/>
      <c r="C131" s="85"/>
      <c r="D131" s="85"/>
      <c r="E131" s="134"/>
      <c r="F131" s="85"/>
      <c r="G131" s="84"/>
      <c r="H131" s="84"/>
      <c r="I131" s="84"/>
      <c r="J131" s="84"/>
      <c r="K131" s="84"/>
      <c r="L131" s="84"/>
      <c r="M131" s="84"/>
      <c r="N131" s="84"/>
      <c r="O131" s="84"/>
      <c r="P131" s="84"/>
      <c r="Q131" s="84"/>
      <c r="R131" s="84"/>
      <c r="S131" s="84"/>
      <c r="T131" s="84"/>
      <c r="U131" s="84"/>
    </row>
    <row r="132" spans="1:21" x14ac:dyDescent="0.3">
      <c r="A132" s="85"/>
      <c r="B132" s="85"/>
      <c r="C132" s="85"/>
      <c r="D132" s="85"/>
      <c r="E132" s="134"/>
      <c r="F132" s="85"/>
      <c r="G132" s="84"/>
      <c r="H132" s="84"/>
      <c r="I132" s="84"/>
      <c r="J132" s="84"/>
      <c r="K132" s="84"/>
      <c r="L132" s="84"/>
      <c r="M132" s="84"/>
      <c r="N132" s="84"/>
      <c r="O132" s="84"/>
      <c r="P132" s="84"/>
      <c r="Q132" s="84"/>
      <c r="R132" s="84"/>
      <c r="S132" s="84"/>
      <c r="T132" s="84"/>
      <c r="U132" s="84"/>
    </row>
    <row r="133" spans="1:21" x14ac:dyDescent="0.3">
      <c r="A133" s="85"/>
      <c r="B133" s="85"/>
      <c r="C133" s="85"/>
      <c r="D133" s="85"/>
      <c r="E133" s="134"/>
      <c r="F133" s="85"/>
      <c r="G133" s="84"/>
      <c r="H133" s="84"/>
      <c r="I133" s="84"/>
      <c r="J133" s="84"/>
      <c r="K133" s="84"/>
      <c r="L133" s="84"/>
      <c r="M133" s="84"/>
      <c r="N133" s="84"/>
      <c r="O133" s="84"/>
      <c r="P133" s="84"/>
      <c r="Q133" s="84"/>
      <c r="R133" s="84"/>
      <c r="S133" s="84"/>
      <c r="T133" s="84"/>
      <c r="U133" s="84"/>
    </row>
    <row r="134" spans="1:21" x14ac:dyDescent="0.3">
      <c r="A134" s="85"/>
      <c r="B134" s="85"/>
      <c r="C134" s="85"/>
      <c r="D134" s="85"/>
      <c r="E134" s="134"/>
      <c r="F134" s="85"/>
      <c r="G134" s="84"/>
      <c r="H134" s="84"/>
      <c r="I134" s="84"/>
      <c r="J134" s="84"/>
      <c r="K134" s="84"/>
      <c r="L134" s="84"/>
      <c r="M134" s="84"/>
      <c r="N134" s="84"/>
      <c r="O134" s="84"/>
      <c r="P134" s="84"/>
      <c r="Q134" s="84"/>
      <c r="R134" s="84"/>
      <c r="S134" s="84"/>
      <c r="T134" s="84"/>
      <c r="U134" s="84"/>
    </row>
    <row r="135" spans="1:21" x14ac:dyDescent="0.3">
      <c r="A135" s="85"/>
      <c r="B135" s="85"/>
      <c r="C135" s="85"/>
      <c r="D135" s="85"/>
      <c r="E135" s="134"/>
      <c r="F135" s="85"/>
      <c r="G135" s="84"/>
      <c r="H135" s="84"/>
      <c r="I135" s="84"/>
      <c r="J135" s="84"/>
      <c r="K135" s="84"/>
      <c r="L135" s="84"/>
      <c r="M135" s="84"/>
      <c r="N135" s="84"/>
      <c r="O135" s="84"/>
      <c r="P135" s="84"/>
      <c r="Q135" s="84"/>
      <c r="R135" s="84"/>
      <c r="S135" s="84"/>
      <c r="T135" s="84"/>
      <c r="U135" s="84"/>
    </row>
    <row r="136" spans="1:21" x14ac:dyDescent="0.3">
      <c r="A136" s="85"/>
      <c r="B136" s="85"/>
      <c r="C136" s="85"/>
      <c r="D136" s="85"/>
      <c r="E136" s="134"/>
      <c r="F136" s="85"/>
      <c r="G136" s="84"/>
      <c r="H136" s="84"/>
      <c r="I136" s="84"/>
      <c r="J136" s="84"/>
      <c r="K136" s="84"/>
      <c r="L136" s="84"/>
      <c r="M136" s="84"/>
      <c r="N136" s="84"/>
      <c r="O136" s="84"/>
      <c r="P136" s="84"/>
      <c r="Q136" s="84"/>
      <c r="R136" s="84"/>
      <c r="S136" s="84"/>
      <c r="T136" s="84"/>
      <c r="U136" s="84"/>
    </row>
    <row r="137" spans="1:21" x14ac:dyDescent="0.3">
      <c r="A137" s="85"/>
      <c r="B137" s="85"/>
      <c r="C137" s="85"/>
      <c r="D137" s="85"/>
      <c r="E137" s="134"/>
      <c r="F137" s="85"/>
      <c r="G137" s="84"/>
      <c r="H137" s="84"/>
      <c r="I137" s="84"/>
      <c r="J137" s="84"/>
      <c r="K137" s="84"/>
      <c r="L137" s="84"/>
      <c r="M137" s="84"/>
      <c r="N137" s="84"/>
      <c r="O137" s="84"/>
      <c r="P137" s="84"/>
      <c r="Q137" s="84"/>
      <c r="R137" s="84"/>
      <c r="S137" s="84"/>
      <c r="T137" s="84"/>
      <c r="U137" s="84"/>
    </row>
    <row r="138" spans="1:21" x14ac:dyDescent="0.3">
      <c r="A138" s="85"/>
      <c r="B138" s="85"/>
      <c r="C138" s="85"/>
      <c r="D138" s="85"/>
      <c r="E138" s="134"/>
      <c r="F138" s="85"/>
      <c r="G138" s="84"/>
      <c r="H138" s="84"/>
      <c r="I138" s="84"/>
      <c r="J138" s="84"/>
      <c r="K138" s="84"/>
      <c r="L138" s="84"/>
      <c r="M138" s="84"/>
      <c r="N138" s="84"/>
      <c r="O138" s="84"/>
      <c r="P138" s="84"/>
      <c r="Q138" s="84"/>
      <c r="R138" s="84"/>
      <c r="S138" s="84"/>
      <c r="T138" s="84"/>
      <c r="U138" s="84"/>
    </row>
    <row r="139" spans="1:21" x14ac:dyDescent="0.3">
      <c r="A139" s="85"/>
      <c r="B139" s="85"/>
      <c r="C139" s="85"/>
      <c r="D139" s="85"/>
      <c r="E139" s="134"/>
      <c r="F139" s="85"/>
      <c r="G139" s="84"/>
      <c r="H139" s="84"/>
      <c r="I139" s="84"/>
      <c r="J139" s="84"/>
      <c r="K139" s="84"/>
      <c r="L139" s="84"/>
      <c r="M139" s="84"/>
      <c r="N139" s="84"/>
      <c r="O139" s="84"/>
      <c r="P139" s="84"/>
      <c r="Q139" s="84"/>
      <c r="R139" s="84"/>
      <c r="S139" s="84"/>
      <c r="T139" s="84"/>
      <c r="U139" s="84"/>
    </row>
    <row r="140" spans="1:21" x14ac:dyDescent="0.3">
      <c r="A140" s="85"/>
      <c r="B140" s="85"/>
      <c r="C140" s="85"/>
      <c r="D140" s="85"/>
      <c r="E140" s="134"/>
      <c r="F140" s="85"/>
      <c r="G140" s="84"/>
      <c r="H140" s="84"/>
      <c r="I140" s="84"/>
      <c r="J140" s="84"/>
      <c r="K140" s="84"/>
      <c r="L140" s="84"/>
      <c r="M140" s="84"/>
      <c r="N140" s="84"/>
      <c r="O140" s="84"/>
      <c r="P140" s="84"/>
      <c r="Q140" s="84"/>
      <c r="R140" s="84"/>
      <c r="S140" s="84"/>
      <c r="T140" s="84"/>
      <c r="U140" s="84"/>
    </row>
    <row r="141" spans="1:21" x14ac:dyDescent="0.3">
      <c r="A141" s="85"/>
      <c r="B141" s="85"/>
      <c r="C141" s="85"/>
      <c r="D141" s="85"/>
      <c r="E141" s="134"/>
      <c r="F141" s="85"/>
      <c r="G141" s="84"/>
      <c r="H141" s="84"/>
      <c r="I141" s="84"/>
      <c r="J141" s="84"/>
      <c r="K141" s="84"/>
      <c r="L141" s="84"/>
      <c r="M141" s="84"/>
      <c r="N141" s="84"/>
      <c r="O141" s="84"/>
      <c r="P141" s="84"/>
      <c r="Q141" s="84"/>
      <c r="R141" s="84"/>
      <c r="S141" s="84"/>
      <c r="T141" s="84"/>
      <c r="U141" s="84"/>
    </row>
    <row r="142" spans="1:21" x14ac:dyDescent="0.3">
      <c r="A142" s="85"/>
      <c r="B142" s="85"/>
      <c r="C142" s="85"/>
      <c r="D142" s="85"/>
      <c r="E142" s="134"/>
      <c r="F142" s="85"/>
      <c r="G142" s="84"/>
      <c r="H142" s="84"/>
      <c r="I142" s="84"/>
      <c r="J142" s="84"/>
      <c r="K142" s="84"/>
      <c r="L142" s="84"/>
      <c r="M142" s="84"/>
      <c r="N142" s="84"/>
      <c r="O142" s="84"/>
      <c r="P142" s="84"/>
      <c r="Q142" s="84"/>
      <c r="R142" s="84"/>
      <c r="S142" s="84"/>
      <c r="T142" s="84"/>
      <c r="U142" s="84"/>
    </row>
    <row r="143" spans="1:21" x14ac:dyDescent="0.3">
      <c r="A143" s="85"/>
      <c r="B143" s="85"/>
      <c r="C143" s="85"/>
      <c r="D143" s="85"/>
      <c r="E143" s="134"/>
      <c r="F143" s="85"/>
      <c r="G143" s="84"/>
      <c r="H143" s="84"/>
      <c r="I143" s="84"/>
      <c r="J143" s="84"/>
      <c r="K143" s="84"/>
      <c r="L143" s="84"/>
      <c r="M143" s="84"/>
      <c r="N143" s="84"/>
      <c r="O143" s="84"/>
      <c r="P143" s="84"/>
      <c r="Q143" s="84"/>
      <c r="R143" s="84"/>
      <c r="S143" s="84"/>
      <c r="T143" s="84"/>
      <c r="U143" s="84"/>
    </row>
    <row r="144" spans="1:21" x14ac:dyDescent="0.3">
      <c r="A144" s="85"/>
      <c r="B144" s="85"/>
      <c r="C144" s="85"/>
      <c r="D144" s="85"/>
      <c r="E144" s="134"/>
      <c r="F144" s="85"/>
      <c r="G144" s="84"/>
      <c r="H144" s="84"/>
      <c r="I144" s="84"/>
      <c r="J144" s="84"/>
      <c r="K144" s="84"/>
      <c r="L144" s="84"/>
      <c r="M144" s="84"/>
      <c r="N144" s="84"/>
      <c r="O144" s="84"/>
      <c r="P144" s="84"/>
      <c r="Q144" s="84"/>
      <c r="R144" s="84"/>
      <c r="S144" s="84"/>
      <c r="T144" s="84"/>
      <c r="U144" s="84"/>
    </row>
    <row r="145" spans="1:21" x14ac:dyDescent="0.3">
      <c r="A145" s="85"/>
      <c r="B145" s="85"/>
      <c r="C145" s="85"/>
      <c r="D145" s="85"/>
      <c r="E145" s="134"/>
      <c r="F145" s="85"/>
      <c r="G145" s="84"/>
      <c r="H145" s="84"/>
      <c r="I145" s="84"/>
      <c r="J145" s="84"/>
      <c r="K145" s="84"/>
      <c r="L145" s="84"/>
      <c r="M145" s="84"/>
      <c r="N145" s="84"/>
      <c r="O145" s="84"/>
      <c r="P145" s="84"/>
      <c r="Q145" s="84"/>
      <c r="R145" s="84"/>
      <c r="S145" s="84"/>
      <c r="T145" s="84"/>
      <c r="U145" s="84"/>
    </row>
    <row r="146" spans="1:21" x14ac:dyDescent="0.3">
      <c r="A146" s="85"/>
      <c r="B146" s="85"/>
      <c r="C146" s="85"/>
      <c r="D146" s="85"/>
      <c r="E146" s="134"/>
      <c r="F146" s="85"/>
      <c r="G146" s="84"/>
      <c r="H146" s="84"/>
      <c r="I146" s="84"/>
      <c r="J146" s="84"/>
      <c r="K146" s="84"/>
      <c r="L146" s="84"/>
      <c r="M146" s="84"/>
      <c r="N146" s="84"/>
      <c r="O146" s="84"/>
      <c r="P146" s="84"/>
      <c r="Q146" s="84"/>
      <c r="R146" s="84"/>
      <c r="S146" s="84"/>
      <c r="T146" s="84"/>
      <c r="U146" s="84"/>
    </row>
    <row r="147" spans="1:21" x14ac:dyDescent="0.3">
      <c r="A147" s="85"/>
      <c r="B147" s="85"/>
      <c r="C147" s="85"/>
      <c r="D147" s="85"/>
      <c r="E147" s="134"/>
      <c r="F147" s="85"/>
      <c r="G147" s="84"/>
      <c r="H147" s="84"/>
      <c r="I147" s="84"/>
      <c r="J147" s="84"/>
      <c r="K147" s="84"/>
      <c r="L147" s="84"/>
      <c r="M147" s="84"/>
      <c r="N147" s="84"/>
      <c r="O147" s="84"/>
      <c r="P147" s="84"/>
      <c r="Q147" s="84"/>
      <c r="R147" s="84"/>
      <c r="S147" s="84"/>
      <c r="T147" s="84"/>
      <c r="U147" s="84"/>
    </row>
  </sheetData>
  <mergeCells count="1">
    <mergeCell ref="C2:G2"/>
  </mergeCells>
  <hyperlinks>
    <hyperlink ref="B5" location="'PTP_ENG-1'!A1" display="'PTP_ENG-1'!A1"/>
    <hyperlink ref="B6" location="'PTP_ENG-2'!A1" display="'PTP_ENG-2'!A1"/>
    <hyperlink ref="B7" location="'PTP_ENG-3'!A1" display="'PTP_ENG-3'!A1"/>
    <hyperlink ref="B8" location="'PTP_ENG-4'!A1" display="'PTP_ENG-4'!A1"/>
    <hyperlink ref="B9" location="'PTP_ENG-5'!A1" display="'PTP_ENG-5'!A1"/>
    <hyperlink ref="B10" location="'PTP_ENG-6'!A1" display="'PTP_ENG-6'!A1"/>
    <hyperlink ref="B11" location="'PTP_ENG-7'!A1" display="'PTP_ENG-7'!A1"/>
    <hyperlink ref="B12" location="'PTP_ENG-8'!A1" display="'PTP_ENG-8'!A1"/>
    <hyperlink ref="B13" location="'PTP_ENG-9'!A1" display="'PTP_ENG-9'!A1"/>
    <hyperlink ref="B14" location="'PTP_ENG-10'!A1" display="'PTP_ENG-10'!A1"/>
    <hyperlink ref="B15" location="'PTP_ENG-11'!A1" display="'PTP_ENG-11'!A1"/>
    <hyperlink ref="B16" location="'PTP_ENG-12'!A1" display="'PTP_ENG-12'!A1"/>
    <hyperlink ref="B17" location="'PTP_ENG-13'!A1" display="'PTP_ENG-13'!A1"/>
    <hyperlink ref="B18" location="'PTP_ENG-14'!A1" display="'PTP_ENG-14'!A1"/>
    <hyperlink ref="B19" location="'PTP_ENG-15'!A1" display="'PTP_ENG-15'!A1"/>
    <hyperlink ref="B20" location="'PTP_ENG-16'!A1" display="'PTP_ENG-16'!A1"/>
    <hyperlink ref="B21" location="'PTP_ENG-17'!A1" display="'PTP_ENG-17'!A1"/>
    <hyperlink ref="B22" location="'PTP_ENG-18'!A1" display="'PTP_ENG-18'!A1"/>
    <hyperlink ref="B23" location="'PTP_ENG-19'!A1" display="'PTP_ENG-19'!A1"/>
    <hyperlink ref="B24" location="'PTP_ENG-20'!A1" display="'PTP_ENG-20'!A1"/>
    <hyperlink ref="B25" location="'PTP_ENG-21'!A1" display="'PTP_ENG-21'!A1"/>
    <hyperlink ref="B26" location="'PTP_ENG-22'!A1" display="'PTP_ENG-22'!A1"/>
    <hyperlink ref="B27" location="'PTP_ENG-23'!A1" display="'PTP_ENG-23'!A1"/>
  </hyperlink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Add_member_list">
                <anchor moveWithCells="1" sizeWithCells="1">
                  <from>
                    <xdr:col>7</xdr:col>
                    <xdr:colOff>137160</xdr:colOff>
                    <xdr:row>1</xdr:row>
                    <xdr:rowOff>167640</xdr:rowOff>
                  </from>
                  <to>
                    <xdr:col>8</xdr:col>
                    <xdr:colOff>891540</xdr:colOff>
                    <xdr:row>1</xdr:row>
                    <xdr:rowOff>388620</xdr:rowOff>
                  </to>
                </anchor>
              </controlPr>
            </control>
          </mc:Choice>
        </mc:AlternateContent>
        <mc:AlternateContent xmlns:mc="http://schemas.openxmlformats.org/markup-compatibility/2006">
          <mc:Choice Requires="x14">
            <control shapeId="17433" r:id="rId5" name="Button 25">
              <controlPr defaultSize="0" print="0" autoFill="0" autoPict="0" macro="[0]!Delete_MemberList">
                <anchor moveWithCells="1" sizeWithCells="1">
                  <from>
                    <xdr:col>13</xdr:col>
                    <xdr:colOff>68580</xdr:colOff>
                    <xdr:row>4</xdr:row>
                    <xdr:rowOff>60960</xdr:rowOff>
                  </from>
                  <to>
                    <xdr:col>13</xdr:col>
                    <xdr:colOff>1196340</xdr:colOff>
                    <xdr:row>4</xdr:row>
                    <xdr:rowOff>243840</xdr:rowOff>
                  </to>
                </anchor>
              </controlPr>
            </control>
          </mc:Choice>
        </mc:AlternateContent>
        <mc:AlternateContent xmlns:mc="http://schemas.openxmlformats.org/markup-compatibility/2006">
          <mc:Choice Requires="x14">
            <control shapeId="17434" r:id="rId6" name="Button 26">
              <controlPr defaultSize="0" print="0" autoFill="0" autoPict="0" macro="[0]!Delete_MemberList">
                <anchor moveWithCells="1" sizeWithCells="1">
                  <from>
                    <xdr:col>13</xdr:col>
                    <xdr:colOff>68580</xdr:colOff>
                    <xdr:row>5</xdr:row>
                    <xdr:rowOff>60960</xdr:rowOff>
                  </from>
                  <to>
                    <xdr:col>13</xdr:col>
                    <xdr:colOff>1196340</xdr:colOff>
                    <xdr:row>5</xdr:row>
                    <xdr:rowOff>243840</xdr:rowOff>
                  </to>
                </anchor>
              </controlPr>
            </control>
          </mc:Choice>
        </mc:AlternateContent>
        <mc:AlternateContent xmlns:mc="http://schemas.openxmlformats.org/markup-compatibility/2006">
          <mc:Choice Requires="x14">
            <control shapeId="17435" r:id="rId7" name="Button 27">
              <controlPr defaultSize="0" print="0" autoFill="0" autoPict="0" macro="[0]!Delete_MemberList">
                <anchor moveWithCells="1" sizeWithCells="1">
                  <from>
                    <xdr:col>13</xdr:col>
                    <xdr:colOff>68580</xdr:colOff>
                    <xdr:row>6</xdr:row>
                    <xdr:rowOff>60960</xdr:rowOff>
                  </from>
                  <to>
                    <xdr:col>13</xdr:col>
                    <xdr:colOff>1196340</xdr:colOff>
                    <xdr:row>6</xdr:row>
                    <xdr:rowOff>243840</xdr:rowOff>
                  </to>
                </anchor>
              </controlPr>
            </control>
          </mc:Choice>
        </mc:AlternateContent>
        <mc:AlternateContent xmlns:mc="http://schemas.openxmlformats.org/markup-compatibility/2006">
          <mc:Choice Requires="x14">
            <control shapeId="17436" r:id="rId8" name="Button 28">
              <controlPr defaultSize="0" print="0" autoFill="0" autoPict="0" macro="[0]!Delete_MemberList">
                <anchor moveWithCells="1" sizeWithCells="1">
                  <from>
                    <xdr:col>13</xdr:col>
                    <xdr:colOff>68580</xdr:colOff>
                    <xdr:row>7</xdr:row>
                    <xdr:rowOff>60960</xdr:rowOff>
                  </from>
                  <to>
                    <xdr:col>13</xdr:col>
                    <xdr:colOff>1196340</xdr:colOff>
                    <xdr:row>7</xdr:row>
                    <xdr:rowOff>243840</xdr:rowOff>
                  </to>
                </anchor>
              </controlPr>
            </control>
          </mc:Choice>
        </mc:AlternateContent>
        <mc:AlternateContent xmlns:mc="http://schemas.openxmlformats.org/markup-compatibility/2006">
          <mc:Choice Requires="x14">
            <control shapeId="17437" r:id="rId9" name="Button 29">
              <controlPr defaultSize="0" print="0" autoFill="0" autoPict="0" macro="[0]!Delete_MemberList">
                <anchor moveWithCells="1" sizeWithCells="1">
                  <from>
                    <xdr:col>13</xdr:col>
                    <xdr:colOff>68580</xdr:colOff>
                    <xdr:row>8</xdr:row>
                    <xdr:rowOff>60960</xdr:rowOff>
                  </from>
                  <to>
                    <xdr:col>13</xdr:col>
                    <xdr:colOff>1196340</xdr:colOff>
                    <xdr:row>8</xdr:row>
                    <xdr:rowOff>243840</xdr:rowOff>
                  </to>
                </anchor>
              </controlPr>
            </control>
          </mc:Choice>
        </mc:AlternateContent>
        <mc:AlternateContent xmlns:mc="http://schemas.openxmlformats.org/markup-compatibility/2006">
          <mc:Choice Requires="x14">
            <control shapeId="17438" r:id="rId10" name="Button 30">
              <controlPr defaultSize="0" print="0" autoFill="0" autoPict="0" macro="[0]!Delete_MemberList">
                <anchor moveWithCells="1" sizeWithCells="1">
                  <from>
                    <xdr:col>13</xdr:col>
                    <xdr:colOff>68580</xdr:colOff>
                    <xdr:row>9</xdr:row>
                    <xdr:rowOff>60960</xdr:rowOff>
                  </from>
                  <to>
                    <xdr:col>13</xdr:col>
                    <xdr:colOff>1196340</xdr:colOff>
                    <xdr:row>9</xdr:row>
                    <xdr:rowOff>243840</xdr:rowOff>
                  </to>
                </anchor>
              </controlPr>
            </control>
          </mc:Choice>
        </mc:AlternateContent>
        <mc:AlternateContent xmlns:mc="http://schemas.openxmlformats.org/markup-compatibility/2006">
          <mc:Choice Requires="x14">
            <control shapeId="17439" r:id="rId11" name="Button 31">
              <controlPr defaultSize="0" print="0" autoFill="0" autoPict="0" macro="[0]!Delete_MemberList">
                <anchor moveWithCells="1" sizeWithCells="1">
                  <from>
                    <xdr:col>13</xdr:col>
                    <xdr:colOff>68580</xdr:colOff>
                    <xdr:row>10</xdr:row>
                    <xdr:rowOff>60960</xdr:rowOff>
                  </from>
                  <to>
                    <xdr:col>13</xdr:col>
                    <xdr:colOff>1196340</xdr:colOff>
                    <xdr:row>10</xdr:row>
                    <xdr:rowOff>243840</xdr:rowOff>
                  </to>
                </anchor>
              </controlPr>
            </control>
          </mc:Choice>
        </mc:AlternateContent>
        <mc:AlternateContent xmlns:mc="http://schemas.openxmlformats.org/markup-compatibility/2006">
          <mc:Choice Requires="x14">
            <control shapeId="17440" r:id="rId12" name="Button 32">
              <controlPr defaultSize="0" print="0" autoFill="0" autoPict="0" macro="[0]!Delete_MemberList">
                <anchor moveWithCells="1" sizeWithCells="1">
                  <from>
                    <xdr:col>13</xdr:col>
                    <xdr:colOff>68580</xdr:colOff>
                    <xdr:row>11</xdr:row>
                    <xdr:rowOff>60960</xdr:rowOff>
                  </from>
                  <to>
                    <xdr:col>13</xdr:col>
                    <xdr:colOff>1196340</xdr:colOff>
                    <xdr:row>11</xdr:row>
                    <xdr:rowOff>243840</xdr:rowOff>
                  </to>
                </anchor>
              </controlPr>
            </control>
          </mc:Choice>
        </mc:AlternateContent>
        <mc:AlternateContent xmlns:mc="http://schemas.openxmlformats.org/markup-compatibility/2006">
          <mc:Choice Requires="x14">
            <control shapeId="17441" r:id="rId13" name="Button 33">
              <controlPr defaultSize="0" print="0" autoFill="0" autoPict="0" macro="[0]!Delete_MemberList">
                <anchor moveWithCells="1" sizeWithCells="1">
                  <from>
                    <xdr:col>13</xdr:col>
                    <xdr:colOff>68580</xdr:colOff>
                    <xdr:row>12</xdr:row>
                    <xdr:rowOff>60960</xdr:rowOff>
                  </from>
                  <to>
                    <xdr:col>13</xdr:col>
                    <xdr:colOff>1196340</xdr:colOff>
                    <xdr:row>12</xdr:row>
                    <xdr:rowOff>243840</xdr:rowOff>
                  </to>
                </anchor>
              </controlPr>
            </control>
          </mc:Choice>
        </mc:AlternateContent>
        <mc:AlternateContent xmlns:mc="http://schemas.openxmlformats.org/markup-compatibility/2006">
          <mc:Choice Requires="x14">
            <control shapeId="17442" r:id="rId14" name="Button 34">
              <controlPr defaultSize="0" print="0" autoFill="0" autoPict="0" macro="[0]!Delete_MemberList">
                <anchor moveWithCells="1" sizeWithCells="1">
                  <from>
                    <xdr:col>13</xdr:col>
                    <xdr:colOff>68580</xdr:colOff>
                    <xdr:row>13</xdr:row>
                    <xdr:rowOff>60960</xdr:rowOff>
                  </from>
                  <to>
                    <xdr:col>13</xdr:col>
                    <xdr:colOff>1196340</xdr:colOff>
                    <xdr:row>13</xdr:row>
                    <xdr:rowOff>243840</xdr:rowOff>
                  </to>
                </anchor>
              </controlPr>
            </control>
          </mc:Choice>
        </mc:AlternateContent>
        <mc:AlternateContent xmlns:mc="http://schemas.openxmlformats.org/markup-compatibility/2006">
          <mc:Choice Requires="x14">
            <control shapeId="17443" r:id="rId15" name="Button 35">
              <controlPr defaultSize="0" print="0" autoFill="0" autoPict="0" macro="[0]!Delete_MemberList">
                <anchor moveWithCells="1" sizeWithCells="1">
                  <from>
                    <xdr:col>13</xdr:col>
                    <xdr:colOff>68580</xdr:colOff>
                    <xdr:row>14</xdr:row>
                    <xdr:rowOff>60960</xdr:rowOff>
                  </from>
                  <to>
                    <xdr:col>13</xdr:col>
                    <xdr:colOff>1196340</xdr:colOff>
                    <xdr:row>14</xdr:row>
                    <xdr:rowOff>243840</xdr:rowOff>
                  </to>
                </anchor>
              </controlPr>
            </control>
          </mc:Choice>
        </mc:AlternateContent>
        <mc:AlternateContent xmlns:mc="http://schemas.openxmlformats.org/markup-compatibility/2006">
          <mc:Choice Requires="x14">
            <control shapeId="17444" r:id="rId16" name="Button 36">
              <controlPr defaultSize="0" print="0" autoFill="0" autoPict="0" macro="[0]!Delete_MemberList">
                <anchor moveWithCells="1" sizeWithCells="1">
                  <from>
                    <xdr:col>13</xdr:col>
                    <xdr:colOff>68580</xdr:colOff>
                    <xdr:row>15</xdr:row>
                    <xdr:rowOff>60960</xdr:rowOff>
                  </from>
                  <to>
                    <xdr:col>13</xdr:col>
                    <xdr:colOff>1196340</xdr:colOff>
                    <xdr:row>15</xdr:row>
                    <xdr:rowOff>243840</xdr:rowOff>
                  </to>
                </anchor>
              </controlPr>
            </control>
          </mc:Choice>
        </mc:AlternateContent>
        <mc:AlternateContent xmlns:mc="http://schemas.openxmlformats.org/markup-compatibility/2006">
          <mc:Choice Requires="x14">
            <control shapeId="17445" r:id="rId17" name="Button 37">
              <controlPr defaultSize="0" print="0" autoFill="0" autoPict="0" macro="[0]!Delete_MemberList">
                <anchor moveWithCells="1" sizeWithCells="1">
                  <from>
                    <xdr:col>13</xdr:col>
                    <xdr:colOff>68580</xdr:colOff>
                    <xdr:row>16</xdr:row>
                    <xdr:rowOff>60960</xdr:rowOff>
                  </from>
                  <to>
                    <xdr:col>13</xdr:col>
                    <xdr:colOff>1196340</xdr:colOff>
                    <xdr:row>16</xdr:row>
                    <xdr:rowOff>243840</xdr:rowOff>
                  </to>
                </anchor>
              </controlPr>
            </control>
          </mc:Choice>
        </mc:AlternateContent>
        <mc:AlternateContent xmlns:mc="http://schemas.openxmlformats.org/markup-compatibility/2006">
          <mc:Choice Requires="x14">
            <control shapeId="17446" r:id="rId18" name="Button 38">
              <controlPr defaultSize="0" print="0" autoFill="0" autoPict="0" macro="[0]!Delete_MemberList">
                <anchor moveWithCells="1" sizeWithCells="1">
                  <from>
                    <xdr:col>13</xdr:col>
                    <xdr:colOff>68580</xdr:colOff>
                    <xdr:row>17</xdr:row>
                    <xdr:rowOff>60960</xdr:rowOff>
                  </from>
                  <to>
                    <xdr:col>13</xdr:col>
                    <xdr:colOff>1196340</xdr:colOff>
                    <xdr:row>17</xdr:row>
                    <xdr:rowOff>243840</xdr:rowOff>
                  </to>
                </anchor>
              </controlPr>
            </control>
          </mc:Choice>
        </mc:AlternateContent>
        <mc:AlternateContent xmlns:mc="http://schemas.openxmlformats.org/markup-compatibility/2006">
          <mc:Choice Requires="x14">
            <control shapeId="17447" r:id="rId19" name="Button 39">
              <controlPr defaultSize="0" print="0" autoFill="0" autoPict="0" macro="[0]!Delete_MemberList">
                <anchor moveWithCells="1" sizeWithCells="1">
                  <from>
                    <xdr:col>13</xdr:col>
                    <xdr:colOff>68580</xdr:colOff>
                    <xdr:row>18</xdr:row>
                    <xdr:rowOff>60960</xdr:rowOff>
                  </from>
                  <to>
                    <xdr:col>13</xdr:col>
                    <xdr:colOff>1196340</xdr:colOff>
                    <xdr:row>18</xdr:row>
                    <xdr:rowOff>243840</xdr:rowOff>
                  </to>
                </anchor>
              </controlPr>
            </control>
          </mc:Choice>
        </mc:AlternateContent>
        <mc:AlternateContent xmlns:mc="http://schemas.openxmlformats.org/markup-compatibility/2006">
          <mc:Choice Requires="x14">
            <control shapeId="17448" r:id="rId20" name="Button 40">
              <controlPr defaultSize="0" print="0" autoFill="0" autoPict="0" macro="[0]!Delete_MemberList">
                <anchor moveWithCells="1" sizeWithCells="1">
                  <from>
                    <xdr:col>13</xdr:col>
                    <xdr:colOff>68580</xdr:colOff>
                    <xdr:row>19</xdr:row>
                    <xdr:rowOff>60960</xdr:rowOff>
                  </from>
                  <to>
                    <xdr:col>13</xdr:col>
                    <xdr:colOff>1196340</xdr:colOff>
                    <xdr:row>19</xdr:row>
                    <xdr:rowOff>243840</xdr:rowOff>
                  </to>
                </anchor>
              </controlPr>
            </control>
          </mc:Choice>
        </mc:AlternateContent>
        <mc:AlternateContent xmlns:mc="http://schemas.openxmlformats.org/markup-compatibility/2006">
          <mc:Choice Requires="x14">
            <control shapeId="17449" r:id="rId21" name="Button 41">
              <controlPr defaultSize="0" print="0" autoFill="0" autoPict="0" macro="[0]!Delete_MemberList">
                <anchor moveWithCells="1" sizeWithCells="1">
                  <from>
                    <xdr:col>13</xdr:col>
                    <xdr:colOff>68580</xdr:colOff>
                    <xdr:row>20</xdr:row>
                    <xdr:rowOff>60960</xdr:rowOff>
                  </from>
                  <to>
                    <xdr:col>13</xdr:col>
                    <xdr:colOff>1196340</xdr:colOff>
                    <xdr:row>20</xdr:row>
                    <xdr:rowOff>243840</xdr:rowOff>
                  </to>
                </anchor>
              </controlPr>
            </control>
          </mc:Choice>
        </mc:AlternateContent>
        <mc:AlternateContent xmlns:mc="http://schemas.openxmlformats.org/markup-compatibility/2006">
          <mc:Choice Requires="x14">
            <control shapeId="17450" r:id="rId22" name="Button 42">
              <controlPr defaultSize="0" print="0" autoFill="0" autoPict="0" macro="[0]!Delete_MemberList">
                <anchor moveWithCells="1" sizeWithCells="1">
                  <from>
                    <xdr:col>13</xdr:col>
                    <xdr:colOff>68580</xdr:colOff>
                    <xdr:row>21</xdr:row>
                    <xdr:rowOff>60960</xdr:rowOff>
                  </from>
                  <to>
                    <xdr:col>13</xdr:col>
                    <xdr:colOff>1196340</xdr:colOff>
                    <xdr:row>21</xdr:row>
                    <xdr:rowOff>243840</xdr:rowOff>
                  </to>
                </anchor>
              </controlPr>
            </control>
          </mc:Choice>
        </mc:AlternateContent>
        <mc:AlternateContent xmlns:mc="http://schemas.openxmlformats.org/markup-compatibility/2006">
          <mc:Choice Requires="x14">
            <control shapeId="17451" r:id="rId23" name="Button 43">
              <controlPr defaultSize="0" print="0" autoFill="0" autoPict="0" macro="[0]!Delete_MemberList">
                <anchor moveWithCells="1" sizeWithCells="1">
                  <from>
                    <xdr:col>13</xdr:col>
                    <xdr:colOff>68580</xdr:colOff>
                    <xdr:row>22</xdr:row>
                    <xdr:rowOff>60960</xdr:rowOff>
                  </from>
                  <to>
                    <xdr:col>13</xdr:col>
                    <xdr:colOff>1196340</xdr:colOff>
                    <xdr:row>22</xdr:row>
                    <xdr:rowOff>243840</xdr:rowOff>
                  </to>
                </anchor>
              </controlPr>
            </control>
          </mc:Choice>
        </mc:AlternateContent>
        <mc:AlternateContent xmlns:mc="http://schemas.openxmlformats.org/markup-compatibility/2006">
          <mc:Choice Requires="x14">
            <control shapeId="17452" r:id="rId24" name="Button 44">
              <controlPr defaultSize="0" print="0" autoFill="0" autoPict="0" macro="[0]!Delete_MemberList">
                <anchor moveWithCells="1" sizeWithCells="1">
                  <from>
                    <xdr:col>13</xdr:col>
                    <xdr:colOff>68580</xdr:colOff>
                    <xdr:row>23</xdr:row>
                    <xdr:rowOff>60960</xdr:rowOff>
                  </from>
                  <to>
                    <xdr:col>13</xdr:col>
                    <xdr:colOff>1196340</xdr:colOff>
                    <xdr:row>23</xdr:row>
                    <xdr:rowOff>243840</xdr:rowOff>
                  </to>
                </anchor>
              </controlPr>
            </control>
          </mc:Choice>
        </mc:AlternateContent>
        <mc:AlternateContent xmlns:mc="http://schemas.openxmlformats.org/markup-compatibility/2006">
          <mc:Choice Requires="x14">
            <control shapeId="17453" r:id="rId25" name="Button 45">
              <controlPr defaultSize="0" print="0" autoFill="0" autoPict="0" macro="[0]!Delete_MemberList">
                <anchor moveWithCells="1" sizeWithCells="1">
                  <from>
                    <xdr:col>13</xdr:col>
                    <xdr:colOff>68580</xdr:colOff>
                    <xdr:row>24</xdr:row>
                    <xdr:rowOff>60960</xdr:rowOff>
                  </from>
                  <to>
                    <xdr:col>13</xdr:col>
                    <xdr:colOff>1196340</xdr:colOff>
                    <xdr:row>24</xdr:row>
                    <xdr:rowOff>243840</xdr:rowOff>
                  </to>
                </anchor>
              </controlPr>
            </control>
          </mc:Choice>
        </mc:AlternateContent>
        <mc:AlternateContent xmlns:mc="http://schemas.openxmlformats.org/markup-compatibility/2006">
          <mc:Choice Requires="x14">
            <control shapeId="17454" r:id="rId26" name="Button 46">
              <controlPr defaultSize="0" print="0" autoFill="0" autoPict="0" macro="[0]!Delete_MemberList">
                <anchor moveWithCells="1" sizeWithCells="1">
                  <from>
                    <xdr:col>13</xdr:col>
                    <xdr:colOff>68580</xdr:colOff>
                    <xdr:row>25</xdr:row>
                    <xdr:rowOff>60960</xdr:rowOff>
                  </from>
                  <to>
                    <xdr:col>13</xdr:col>
                    <xdr:colOff>1196340</xdr:colOff>
                    <xdr:row>25</xdr:row>
                    <xdr:rowOff>243840</xdr:rowOff>
                  </to>
                </anchor>
              </controlPr>
            </control>
          </mc:Choice>
        </mc:AlternateContent>
        <mc:AlternateContent xmlns:mc="http://schemas.openxmlformats.org/markup-compatibility/2006">
          <mc:Choice Requires="x14">
            <control shapeId="17455" r:id="rId27" name="Button 47">
              <controlPr defaultSize="0" print="0" autoFill="0" autoPict="0" macro="[0]!Delete_MemberList">
                <anchor moveWithCells="1" sizeWithCells="1">
                  <from>
                    <xdr:col>13</xdr:col>
                    <xdr:colOff>68580</xdr:colOff>
                    <xdr:row>26</xdr:row>
                    <xdr:rowOff>60960</xdr:rowOff>
                  </from>
                  <to>
                    <xdr:col>13</xdr:col>
                    <xdr:colOff>1196340</xdr:colOff>
                    <xdr:row>26</xdr:row>
                    <xdr:rowOff>243840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
  <sheetViews>
    <sheetView zoomScale="80" zoomScaleNormal="80" workbookViewId="0">
      <selection activeCell="A4" sqref="A4"/>
    </sheetView>
  </sheetViews>
  <sheetFormatPr defaultRowHeight="14.4" x14ac:dyDescent="0.3"/>
  <cols>
    <col min="1" max="2" width="12.21875" style="71" customWidth="1"/>
    <col min="3" max="3" width="27.88671875" style="71" customWidth="1"/>
    <col min="4" max="4" width="42.109375" style="72" customWidth="1"/>
    <col min="5" max="5" width="21.6640625" style="61" customWidth="1"/>
    <col min="6" max="7" width="19.5546875" style="61" customWidth="1"/>
    <col min="8" max="8" width="19.44140625" style="61" customWidth="1"/>
    <col min="9" max="9" width="19.77734375" style="61" customWidth="1"/>
    <col min="10" max="10" width="15" style="58" customWidth="1"/>
    <col min="11" max="11" width="5.88671875" style="58" customWidth="1"/>
    <col min="12" max="12" width="77" style="58" customWidth="1"/>
    <col min="13" max="13" width="15" style="58" customWidth="1"/>
    <col min="14" max="16384" width="8.88671875" style="58"/>
  </cols>
  <sheetData>
    <row r="1" spans="1:13" s="46" customFormat="1" ht="42.6" thickBot="1" x14ac:dyDescent="0.35">
      <c r="A1" s="228" t="s">
        <v>10</v>
      </c>
      <c r="B1" s="229"/>
      <c r="C1" s="229"/>
      <c r="D1" s="230"/>
      <c r="E1" s="43" t="s">
        <v>0</v>
      </c>
      <c r="F1" s="43" t="s">
        <v>1</v>
      </c>
      <c r="G1" s="43" t="s">
        <v>2</v>
      </c>
      <c r="H1" s="43" t="s">
        <v>3</v>
      </c>
      <c r="I1" s="43" t="s">
        <v>4</v>
      </c>
      <c r="J1" s="44"/>
      <c r="K1" s="45"/>
      <c r="L1" s="45"/>
      <c r="M1" s="45"/>
    </row>
    <row r="2" spans="1:13" s="46" customFormat="1" ht="96.6" thickBot="1" x14ac:dyDescent="0.35">
      <c r="A2" s="80" t="s">
        <v>27</v>
      </c>
      <c r="B2" s="81" t="s">
        <v>17</v>
      </c>
      <c r="C2" s="81" t="s">
        <v>5</v>
      </c>
      <c r="D2" s="82" t="s">
        <v>28</v>
      </c>
      <c r="E2" s="47" t="s">
        <v>6</v>
      </c>
      <c r="F2" s="47" t="s">
        <v>7</v>
      </c>
      <c r="G2" s="47" t="s">
        <v>29</v>
      </c>
      <c r="H2" s="47" t="s">
        <v>30</v>
      </c>
      <c r="I2" s="47" t="s">
        <v>8</v>
      </c>
      <c r="J2" s="44"/>
      <c r="K2" s="45"/>
      <c r="L2" s="45"/>
      <c r="M2" s="45"/>
    </row>
    <row r="3" spans="1:13" s="51" customFormat="1" ht="124.2" x14ac:dyDescent="0.3">
      <c r="A3" s="48" t="s">
        <v>71</v>
      </c>
      <c r="B3" s="64" t="s">
        <v>32</v>
      </c>
      <c r="C3" s="60" t="s">
        <v>106</v>
      </c>
      <c r="D3" s="66" t="s">
        <v>98</v>
      </c>
      <c r="E3" s="63">
        <v>2</v>
      </c>
      <c r="F3" s="63">
        <v>3</v>
      </c>
      <c r="G3" s="63">
        <v>4</v>
      </c>
      <c r="H3" s="63">
        <v>4</v>
      </c>
      <c r="I3" s="63">
        <v>4</v>
      </c>
      <c r="J3" s="49"/>
      <c r="K3" s="50"/>
      <c r="L3" s="50"/>
      <c r="M3" s="50"/>
    </row>
    <row r="4" spans="1:13" s="51" customFormat="1" ht="41.4" x14ac:dyDescent="0.3">
      <c r="A4" s="48" t="s">
        <v>71</v>
      </c>
      <c r="B4" s="64" t="s">
        <v>32</v>
      </c>
      <c r="C4" s="60" t="s">
        <v>107</v>
      </c>
      <c r="D4" s="66" t="s">
        <v>99</v>
      </c>
      <c r="E4" s="63">
        <v>1</v>
      </c>
      <c r="F4" s="63">
        <v>2</v>
      </c>
      <c r="G4" s="63">
        <v>3</v>
      </c>
      <c r="H4" s="63">
        <v>4</v>
      </c>
      <c r="I4" s="63">
        <v>4</v>
      </c>
      <c r="J4" s="53"/>
      <c r="K4" s="54"/>
      <c r="L4" s="54"/>
      <c r="M4" s="54"/>
    </row>
    <row r="5" spans="1:13" s="51" customFormat="1" ht="69" x14ac:dyDescent="0.3">
      <c r="A5" s="48" t="s">
        <v>71</v>
      </c>
      <c r="B5" s="64" t="s">
        <v>32</v>
      </c>
      <c r="C5" s="60" t="s">
        <v>108</v>
      </c>
      <c r="D5" s="66" t="s">
        <v>100</v>
      </c>
      <c r="E5" s="63">
        <v>2</v>
      </c>
      <c r="F5" s="63">
        <v>3</v>
      </c>
      <c r="G5" s="63">
        <v>3</v>
      </c>
      <c r="H5" s="63">
        <v>4</v>
      </c>
      <c r="I5" s="63">
        <v>4</v>
      </c>
      <c r="J5" s="53"/>
      <c r="K5" s="54"/>
      <c r="L5" s="54"/>
      <c r="M5" s="54"/>
    </row>
    <row r="6" spans="1:13" s="51" customFormat="1" ht="69" x14ac:dyDescent="0.3">
      <c r="A6" s="48" t="s">
        <v>71</v>
      </c>
      <c r="B6" s="64" t="s">
        <v>32</v>
      </c>
      <c r="C6" s="60" t="s">
        <v>109</v>
      </c>
      <c r="D6" s="66" t="s">
        <v>101</v>
      </c>
      <c r="E6" s="63">
        <v>2</v>
      </c>
      <c r="F6" s="63">
        <v>3</v>
      </c>
      <c r="G6" s="63">
        <v>4</v>
      </c>
      <c r="H6" s="63">
        <v>5</v>
      </c>
      <c r="I6" s="63">
        <v>5</v>
      </c>
      <c r="J6" s="53"/>
      <c r="K6" s="54"/>
      <c r="L6" s="54"/>
      <c r="M6" s="54"/>
    </row>
    <row r="7" spans="1:13" s="51" customFormat="1" ht="96.6" x14ac:dyDescent="0.3">
      <c r="A7" s="48" t="s">
        <v>71</v>
      </c>
      <c r="B7" s="64" t="s">
        <v>33</v>
      </c>
      <c r="C7" s="60" t="s">
        <v>110</v>
      </c>
      <c r="D7" s="66" t="s">
        <v>34</v>
      </c>
      <c r="E7" s="63">
        <v>2</v>
      </c>
      <c r="F7" s="63">
        <v>3</v>
      </c>
      <c r="G7" s="63">
        <v>3</v>
      </c>
      <c r="H7" s="63">
        <v>4</v>
      </c>
      <c r="I7" s="63">
        <v>4</v>
      </c>
      <c r="J7" s="53"/>
      <c r="K7" s="54"/>
      <c r="L7" s="54"/>
      <c r="M7" s="54"/>
    </row>
    <row r="8" spans="1:13" s="51" customFormat="1" ht="82.8" x14ac:dyDescent="0.3">
      <c r="A8" s="48" t="s">
        <v>71</v>
      </c>
      <c r="B8" s="64" t="s">
        <v>33</v>
      </c>
      <c r="C8" s="60" t="s">
        <v>111</v>
      </c>
      <c r="D8" s="66" t="s">
        <v>35</v>
      </c>
      <c r="E8" s="63">
        <v>2</v>
      </c>
      <c r="F8" s="63">
        <v>3</v>
      </c>
      <c r="G8" s="63">
        <v>3</v>
      </c>
      <c r="H8" s="63">
        <v>4</v>
      </c>
      <c r="I8" s="63">
        <v>4</v>
      </c>
      <c r="J8" s="53"/>
      <c r="K8" s="54"/>
      <c r="L8" s="54"/>
      <c r="M8" s="54"/>
    </row>
    <row r="9" spans="1:13" s="51" customFormat="1" ht="82.8" x14ac:dyDescent="0.3">
      <c r="A9" s="48" t="s">
        <v>71</v>
      </c>
      <c r="B9" s="64" t="s">
        <v>33</v>
      </c>
      <c r="C9" s="60" t="s">
        <v>112</v>
      </c>
      <c r="D9" s="66" t="s">
        <v>36</v>
      </c>
      <c r="E9" s="63">
        <v>1</v>
      </c>
      <c r="F9" s="63">
        <v>2</v>
      </c>
      <c r="G9" s="63">
        <v>3</v>
      </c>
      <c r="H9" s="63">
        <v>4</v>
      </c>
      <c r="I9" s="63">
        <v>5</v>
      </c>
      <c r="J9" s="53"/>
      <c r="K9" s="54"/>
      <c r="L9" s="54"/>
      <c r="M9" s="54"/>
    </row>
    <row r="10" spans="1:13" s="51" customFormat="1" ht="69" x14ac:dyDescent="0.3">
      <c r="A10" s="48" t="s">
        <v>71</v>
      </c>
      <c r="B10" s="64" t="s">
        <v>33</v>
      </c>
      <c r="C10" s="60" t="s">
        <v>113</v>
      </c>
      <c r="D10" s="66" t="s">
        <v>37</v>
      </c>
      <c r="E10" s="63">
        <v>2</v>
      </c>
      <c r="F10" s="63">
        <v>3</v>
      </c>
      <c r="G10" s="63">
        <v>4</v>
      </c>
      <c r="H10" s="63">
        <v>5</v>
      </c>
      <c r="I10" s="63">
        <v>5</v>
      </c>
      <c r="J10" s="53"/>
      <c r="K10" s="54"/>
      <c r="L10" s="54"/>
      <c r="M10" s="54"/>
    </row>
    <row r="11" spans="1:13" s="51" customFormat="1" ht="124.2" x14ac:dyDescent="0.3">
      <c r="A11" s="48" t="s">
        <v>71</v>
      </c>
      <c r="B11" s="64" t="s">
        <v>38</v>
      </c>
      <c r="C11" s="60" t="s">
        <v>114</v>
      </c>
      <c r="D11" s="66" t="s">
        <v>103</v>
      </c>
      <c r="E11" s="63">
        <v>2</v>
      </c>
      <c r="F11" s="63">
        <v>3</v>
      </c>
      <c r="G11" s="63">
        <v>4</v>
      </c>
      <c r="H11" s="63">
        <v>4</v>
      </c>
      <c r="I11" s="63">
        <v>4</v>
      </c>
      <c r="J11" s="53"/>
      <c r="K11" s="54"/>
      <c r="L11" s="54"/>
      <c r="M11" s="54"/>
    </row>
    <row r="12" spans="1:13" s="51" customFormat="1" ht="82.8" x14ac:dyDescent="0.3">
      <c r="A12" s="48" t="s">
        <v>71</v>
      </c>
      <c r="B12" s="64" t="s">
        <v>38</v>
      </c>
      <c r="C12" s="60" t="s">
        <v>115</v>
      </c>
      <c r="D12" s="66" t="s">
        <v>104</v>
      </c>
      <c r="E12" s="63">
        <v>2</v>
      </c>
      <c r="F12" s="63">
        <v>3</v>
      </c>
      <c r="G12" s="63">
        <v>4</v>
      </c>
      <c r="H12" s="63">
        <v>4</v>
      </c>
      <c r="I12" s="63">
        <v>4</v>
      </c>
      <c r="J12" s="53"/>
      <c r="K12" s="54"/>
      <c r="L12" s="54"/>
      <c r="M12" s="54"/>
    </row>
    <row r="13" spans="1:13" s="51" customFormat="1" ht="41.4" x14ac:dyDescent="0.3">
      <c r="A13" s="48" t="s">
        <v>71</v>
      </c>
      <c r="B13" s="64" t="s">
        <v>39</v>
      </c>
      <c r="C13" s="60" t="s">
        <v>116</v>
      </c>
      <c r="D13" s="66" t="s">
        <v>40</v>
      </c>
      <c r="E13" s="63">
        <v>2</v>
      </c>
      <c r="F13" s="63">
        <v>3</v>
      </c>
      <c r="G13" s="63">
        <v>4</v>
      </c>
      <c r="H13" s="63">
        <v>4</v>
      </c>
      <c r="I13" s="63">
        <v>5</v>
      </c>
      <c r="J13" s="53"/>
      <c r="K13" s="54"/>
      <c r="L13" s="54"/>
      <c r="M13" s="54"/>
    </row>
    <row r="14" spans="1:13" s="51" customFormat="1" ht="41.4" x14ac:dyDescent="0.3">
      <c r="A14" s="48" t="s">
        <v>71</v>
      </c>
      <c r="B14" s="64" t="s">
        <v>39</v>
      </c>
      <c r="C14" s="60" t="s">
        <v>117</v>
      </c>
      <c r="D14" s="66" t="s">
        <v>41</v>
      </c>
      <c r="E14" s="63">
        <v>2</v>
      </c>
      <c r="F14" s="63">
        <v>3</v>
      </c>
      <c r="G14" s="63">
        <v>4</v>
      </c>
      <c r="H14" s="63">
        <v>4</v>
      </c>
      <c r="I14" s="63">
        <v>5</v>
      </c>
      <c r="J14" s="53"/>
      <c r="K14" s="54"/>
      <c r="L14" s="54"/>
      <c r="M14" s="54"/>
    </row>
    <row r="15" spans="1:13" s="51" customFormat="1" ht="55.2" x14ac:dyDescent="0.3">
      <c r="A15" s="48" t="s">
        <v>71</v>
      </c>
      <c r="B15" s="64" t="s">
        <v>42</v>
      </c>
      <c r="C15" s="60" t="s">
        <v>118</v>
      </c>
      <c r="D15" s="66" t="s">
        <v>43</v>
      </c>
      <c r="E15" s="63">
        <v>1</v>
      </c>
      <c r="F15" s="63">
        <v>3</v>
      </c>
      <c r="G15" s="63">
        <v>3</v>
      </c>
      <c r="H15" s="63">
        <v>4</v>
      </c>
      <c r="I15" s="63">
        <v>4</v>
      </c>
      <c r="J15" s="53"/>
      <c r="K15" s="54"/>
      <c r="L15" s="54"/>
      <c r="M15" s="54"/>
    </row>
    <row r="16" spans="1:13" s="51" customFormat="1" ht="96.6" x14ac:dyDescent="0.3">
      <c r="A16" s="48" t="s">
        <v>71</v>
      </c>
      <c r="B16" s="64" t="s">
        <v>42</v>
      </c>
      <c r="C16" s="60" t="s">
        <v>119</v>
      </c>
      <c r="D16" s="66" t="s">
        <v>44</v>
      </c>
      <c r="E16" s="63">
        <v>1</v>
      </c>
      <c r="F16" s="63">
        <v>2</v>
      </c>
      <c r="G16" s="63">
        <v>3</v>
      </c>
      <c r="H16" s="63">
        <v>3</v>
      </c>
      <c r="I16" s="63">
        <v>3</v>
      </c>
      <c r="J16" s="53"/>
      <c r="K16" s="54"/>
      <c r="L16" s="54"/>
      <c r="M16" s="54"/>
    </row>
    <row r="17" spans="1:13" s="51" customFormat="1" ht="69" x14ac:dyDescent="0.3">
      <c r="A17" s="48" t="s">
        <v>71</v>
      </c>
      <c r="B17" s="64" t="s">
        <v>45</v>
      </c>
      <c r="C17" s="60" t="s">
        <v>120</v>
      </c>
      <c r="D17" s="66" t="s">
        <v>46</v>
      </c>
      <c r="E17" s="63">
        <v>2</v>
      </c>
      <c r="F17" s="63">
        <v>3</v>
      </c>
      <c r="G17" s="63">
        <v>4</v>
      </c>
      <c r="H17" s="63">
        <v>4</v>
      </c>
      <c r="I17" s="63">
        <v>5</v>
      </c>
      <c r="J17" s="53"/>
      <c r="K17" s="54"/>
      <c r="L17" s="54"/>
      <c r="M17" s="54"/>
    </row>
    <row r="18" spans="1:13" s="51" customFormat="1" ht="179.4" x14ac:dyDescent="0.3">
      <c r="A18" s="48" t="s">
        <v>71</v>
      </c>
      <c r="B18" s="64" t="s">
        <v>47</v>
      </c>
      <c r="C18" s="60" t="s">
        <v>48</v>
      </c>
      <c r="D18" s="66" t="s">
        <v>102</v>
      </c>
      <c r="E18" s="63">
        <v>2</v>
      </c>
      <c r="F18" s="63">
        <v>3</v>
      </c>
      <c r="G18" s="63">
        <v>4</v>
      </c>
      <c r="H18" s="63">
        <v>5</v>
      </c>
      <c r="I18" s="63">
        <v>5</v>
      </c>
      <c r="J18" s="53"/>
      <c r="K18" s="54"/>
      <c r="L18" s="54"/>
      <c r="M18" s="54"/>
    </row>
    <row r="19" spans="1:13" s="51" customFormat="1" ht="124.2" x14ac:dyDescent="0.3">
      <c r="A19" s="48" t="s">
        <v>71</v>
      </c>
      <c r="B19" s="64" t="s">
        <v>47</v>
      </c>
      <c r="C19" s="60" t="s">
        <v>121</v>
      </c>
      <c r="D19" s="66" t="s">
        <v>49</v>
      </c>
      <c r="E19" s="63">
        <v>2</v>
      </c>
      <c r="F19" s="63">
        <v>3</v>
      </c>
      <c r="G19" s="63">
        <v>4</v>
      </c>
      <c r="H19" s="63">
        <v>5</v>
      </c>
      <c r="I19" s="63">
        <v>5</v>
      </c>
      <c r="J19" s="53"/>
      <c r="K19" s="54"/>
      <c r="L19" s="54"/>
      <c r="M19" s="54"/>
    </row>
    <row r="20" spans="1:13" s="51" customFormat="1" ht="82.8" x14ac:dyDescent="0.3">
      <c r="A20" s="48" t="s">
        <v>71</v>
      </c>
      <c r="B20" s="64" t="s">
        <v>50</v>
      </c>
      <c r="C20" s="60" t="s">
        <v>51</v>
      </c>
      <c r="D20" s="66" t="s">
        <v>52</v>
      </c>
      <c r="E20" s="63">
        <v>1</v>
      </c>
      <c r="F20" s="63">
        <v>2</v>
      </c>
      <c r="G20" s="63">
        <v>3</v>
      </c>
      <c r="H20" s="63">
        <v>4</v>
      </c>
      <c r="I20" s="63">
        <v>4</v>
      </c>
      <c r="J20" s="53"/>
      <c r="K20" s="54"/>
      <c r="L20" s="54"/>
      <c r="M20" s="54"/>
    </row>
    <row r="21" spans="1:13" s="51" customFormat="1" ht="69" x14ac:dyDescent="0.3">
      <c r="A21" s="48" t="s">
        <v>71</v>
      </c>
      <c r="B21" s="64" t="s">
        <v>50</v>
      </c>
      <c r="C21" s="60" t="s">
        <v>53</v>
      </c>
      <c r="D21" s="66" t="s">
        <v>54</v>
      </c>
      <c r="E21" s="63">
        <v>1</v>
      </c>
      <c r="F21" s="63">
        <v>2</v>
      </c>
      <c r="G21" s="63">
        <v>3</v>
      </c>
      <c r="H21" s="63">
        <v>4</v>
      </c>
      <c r="I21" s="63">
        <v>4</v>
      </c>
      <c r="J21" s="53"/>
      <c r="K21" s="54"/>
      <c r="L21" s="54"/>
      <c r="M21" s="54"/>
    </row>
    <row r="22" spans="1:13" s="51" customFormat="1" ht="138" x14ac:dyDescent="0.3">
      <c r="A22" s="48" t="s">
        <v>71</v>
      </c>
      <c r="B22" s="64" t="s">
        <v>50</v>
      </c>
      <c r="C22" s="60" t="s">
        <v>55</v>
      </c>
      <c r="D22" s="66" t="s">
        <v>56</v>
      </c>
      <c r="E22" s="63">
        <v>2</v>
      </c>
      <c r="F22" s="63">
        <v>3</v>
      </c>
      <c r="G22" s="63">
        <v>4</v>
      </c>
      <c r="H22" s="63">
        <v>5</v>
      </c>
      <c r="I22" s="63">
        <v>5</v>
      </c>
      <c r="J22" s="53"/>
      <c r="K22" s="54"/>
      <c r="L22" s="54"/>
      <c r="M22" s="54"/>
    </row>
    <row r="23" spans="1:13" s="51" customFormat="1" ht="55.2" x14ac:dyDescent="0.3">
      <c r="A23" s="48" t="s">
        <v>71</v>
      </c>
      <c r="B23" s="64" t="s">
        <v>57</v>
      </c>
      <c r="C23" s="62" t="s">
        <v>58</v>
      </c>
      <c r="D23" s="66" t="s">
        <v>59</v>
      </c>
      <c r="E23" s="63">
        <v>1</v>
      </c>
      <c r="F23" s="63">
        <v>2</v>
      </c>
      <c r="G23" s="63">
        <v>3</v>
      </c>
      <c r="H23" s="63">
        <v>4</v>
      </c>
      <c r="I23" s="63">
        <v>5</v>
      </c>
      <c r="J23" s="53"/>
      <c r="K23" s="54"/>
      <c r="L23" s="54"/>
      <c r="M23" s="54"/>
    </row>
    <row r="24" spans="1:13" ht="41.4" x14ac:dyDescent="0.3">
      <c r="A24" s="64" t="s">
        <v>31</v>
      </c>
      <c r="B24" s="64" t="s">
        <v>70</v>
      </c>
      <c r="C24" s="55" t="s">
        <v>60</v>
      </c>
      <c r="D24" s="66" t="s">
        <v>61</v>
      </c>
      <c r="E24" s="52">
        <v>1</v>
      </c>
      <c r="F24" s="52">
        <v>2</v>
      </c>
      <c r="G24" s="52">
        <v>3</v>
      </c>
      <c r="H24" s="52">
        <v>4</v>
      </c>
      <c r="I24" s="52">
        <v>5</v>
      </c>
      <c r="J24" s="56"/>
      <c r="K24" s="57"/>
      <c r="L24" s="57"/>
      <c r="M24" s="57"/>
    </row>
    <row r="25" spans="1:13" ht="27.6" x14ac:dyDescent="0.3">
      <c r="A25" s="64" t="s">
        <v>31</v>
      </c>
      <c r="B25" s="64" t="s">
        <v>70</v>
      </c>
      <c r="C25" s="55" t="s">
        <v>62</v>
      </c>
      <c r="D25" s="66" t="s">
        <v>63</v>
      </c>
      <c r="E25" s="52">
        <v>1</v>
      </c>
      <c r="F25" s="52">
        <v>2</v>
      </c>
      <c r="G25" s="52">
        <v>3</v>
      </c>
      <c r="H25" s="52">
        <v>4</v>
      </c>
      <c r="I25" s="52">
        <v>4</v>
      </c>
      <c r="J25" s="56"/>
      <c r="K25" s="57"/>
      <c r="L25" s="57"/>
      <c r="M25" s="57"/>
    </row>
    <row r="26" spans="1:13" ht="27.6" x14ac:dyDescent="0.3">
      <c r="A26" s="64" t="s">
        <v>31</v>
      </c>
      <c r="B26" s="64" t="s">
        <v>70</v>
      </c>
      <c r="C26" s="55" t="s">
        <v>64</v>
      </c>
      <c r="D26" s="66" t="s">
        <v>65</v>
      </c>
      <c r="E26" s="52">
        <v>1</v>
      </c>
      <c r="F26" s="52">
        <v>2</v>
      </c>
      <c r="G26" s="52">
        <v>3</v>
      </c>
      <c r="H26" s="52">
        <v>5</v>
      </c>
      <c r="I26" s="52">
        <v>5</v>
      </c>
      <c r="J26" s="56"/>
      <c r="K26" s="57"/>
      <c r="L26" s="57"/>
      <c r="M26" s="57"/>
    </row>
    <row r="27" spans="1:13" ht="55.2" x14ac:dyDescent="0.3">
      <c r="A27" s="64" t="s">
        <v>31</v>
      </c>
      <c r="B27" s="64" t="s">
        <v>70</v>
      </c>
      <c r="C27" s="55" t="s">
        <v>66</v>
      </c>
      <c r="D27" s="66" t="s">
        <v>67</v>
      </c>
      <c r="E27" s="52">
        <v>1</v>
      </c>
      <c r="F27" s="52">
        <v>3</v>
      </c>
      <c r="G27" s="52">
        <v>4</v>
      </c>
      <c r="H27" s="52">
        <v>5</v>
      </c>
      <c r="I27" s="52">
        <v>5</v>
      </c>
      <c r="J27" s="56"/>
      <c r="K27" s="57"/>
      <c r="L27" s="57"/>
      <c r="M27" s="57"/>
    </row>
    <row r="28" spans="1:13" ht="27.6" x14ac:dyDescent="0.3">
      <c r="A28" s="64" t="s">
        <v>31</v>
      </c>
      <c r="B28" s="64" t="s">
        <v>70</v>
      </c>
      <c r="C28" s="55" t="s">
        <v>68</v>
      </c>
      <c r="D28" s="66" t="s">
        <v>69</v>
      </c>
      <c r="E28" s="52">
        <v>1</v>
      </c>
      <c r="F28" s="52">
        <v>2</v>
      </c>
      <c r="G28" s="52">
        <v>3</v>
      </c>
      <c r="H28" s="52">
        <v>4</v>
      </c>
      <c r="I28" s="52">
        <v>5</v>
      </c>
      <c r="J28" s="56"/>
      <c r="K28" s="57"/>
      <c r="L28" s="57"/>
      <c r="M28" s="57"/>
    </row>
    <row r="29" spans="1:13" ht="21" x14ac:dyDescent="0.3">
      <c r="A29" s="64"/>
      <c r="B29" s="64"/>
      <c r="C29" s="55"/>
      <c r="D29" s="65"/>
      <c r="E29" s="52"/>
      <c r="F29" s="52"/>
      <c r="G29" s="52"/>
      <c r="H29" s="52"/>
      <c r="I29" s="52"/>
      <c r="J29" s="56"/>
      <c r="K29" s="57"/>
      <c r="L29" s="57"/>
      <c r="M29" s="57"/>
    </row>
    <row r="30" spans="1:13" ht="21" x14ac:dyDescent="0.3">
      <c r="A30" s="64"/>
      <c r="B30" s="64"/>
      <c r="C30" s="59"/>
      <c r="D30" s="65"/>
      <c r="E30" s="52"/>
      <c r="F30" s="52"/>
      <c r="G30" s="52"/>
      <c r="H30" s="52"/>
      <c r="I30" s="52"/>
      <c r="J30" s="56"/>
      <c r="K30" s="57"/>
      <c r="L30" s="57"/>
      <c r="M30" s="57"/>
    </row>
    <row r="31" spans="1:13" ht="21" x14ac:dyDescent="0.3">
      <c r="A31" s="64"/>
      <c r="B31" s="64"/>
      <c r="C31" s="60"/>
      <c r="D31" s="65"/>
      <c r="E31" s="52"/>
      <c r="F31" s="52"/>
      <c r="G31" s="52"/>
      <c r="H31" s="52"/>
      <c r="I31" s="52"/>
      <c r="J31" s="56"/>
      <c r="K31" s="57"/>
      <c r="L31" s="57"/>
      <c r="M31" s="57"/>
    </row>
  </sheetData>
  <sheetProtection password="C71F" sheet="1" objects="1" scenarios="1"/>
  <mergeCells count="1">
    <mergeCell ref="A1:D1"/>
  </mergeCells>
  <pageMargins left="0.7" right="0.7" top="0.75" bottom="0.75" header="0.3" footer="0.3"/>
  <pageSetup orientation="portrait" horizontalDpi="200" verticalDpi="2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G34"/>
  <sheetViews>
    <sheetView tabSelected="1" workbookViewId="0">
      <pane xSplit="2" topLeftCell="K1" activePane="topRight" state="frozen"/>
      <selection pane="topRight" activeCell="V2" sqref="V2"/>
    </sheetView>
  </sheetViews>
  <sheetFormatPr defaultRowHeight="19.2" customHeight="1" x14ac:dyDescent="0.3"/>
  <cols>
    <col min="1" max="1" width="6.44140625" style="75" customWidth="1"/>
    <col min="2" max="3" width="28.109375" style="75" customWidth="1"/>
    <col min="4" max="4" width="16.109375" style="75" customWidth="1"/>
    <col min="5" max="5" width="14.109375" style="75" customWidth="1"/>
    <col min="6" max="6" width="17" style="75" customWidth="1"/>
    <col min="7" max="7" width="21.6640625" style="75" customWidth="1"/>
    <col min="8" max="19" width="14" style="213" customWidth="1"/>
    <col min="20" max="20" width="15.109375" style="213" customWidth="1"/>
    <col min="21" max="26" width="14" style="213" customWidth="1"/>
    <col min="27" max="28" width="14" style="214" customWidth="1"/>
    <col min="29" max="29" width="15.21875" style="214" customWidth="1"/>
    <col min="30" max="33" width="14" style="214" customWidth="1"/>
    <col min="34" max="16384" width="8.88671875" style="75"/>
  </cols>
  <sheetData>
    <row r="1" spans="1:33" s="219" customFormat="1" ht="45" customHeight="1" thickBot="1" x14ac:dyDescent="0.35">
      <c r="A1" s="76" t="s">
        <v>11</v>
      </c>
      <c r="B1" s="77" t="s">
        <v>13</v>
      </c>
      <c r="C1" s="77" t="s">
        <v>12</v>
      </c>
      <c r="D1" s="77" t="s">
        <v>148</v>
      </c>
      <c r="E1" s="77" t="s">
        <v>125</v>
      </c>
      <c r="F1" s="77" t="s">
        <v>126</v>
      </c>
      <c r="G1" s="77" t="s">
        <v>9</v>
      </c>
      <c r="H1" s="215" t="s">
        <v>106</v>
      </c>
      <c r="I1" s="215" t="s">
        <v>107</v>
      </c>
      <c r="J1" s="215" t="s">
        <v>108</v>
      </c>
      <c r="K1" s="215" t="s">
        <v>109</v>
      </c>
      <c r="L1" s="216" t="s">
        <v>110</v>
      </c>
      <c r="M1" s="216" t="s">
        <v>111</v>
      </c>
      <c r="N1" s="216" t="s">
        <v>112</v>
      </c>
      <c r="O1" s="216" t="s">
        <v>113</v>
      </c>
      <c r="P1" s="209" t="s">
        <v>114</v>
      </c>
      <c r="Q1" s="209" t="s">
        <v>115</v>
      </c>
      <c r="R1" s="217" t="s">
        <v>116</v>
      </c>
      <c r="S1" s="217" t="s">
        <v>117</v>
      </c>
      <c r="T1" s="218" t="s">
        <v>118</v>
      </c>
      <c r="U1" s="218" t="s">
        <v>119</v>
      </c>
      <c r="V1" s="209" t="s">
        <v>120</v>
      </c>
      <c r="W1" s="210" t="s">
        <v>48</v>
      </c>
      <c r="X1" s="210" t="s">
        <v>121</v>
      </c>
      <c r="Y1" s="211" t="s">
        <v>51</v>
      </c>
      <c r="Z1" s="211" t="s">
        <v>53</v>
      </c>
      <c r="AA1" s="211" t="s">
        <v>55</v>
      </c>
      <c r="AB1" s="212" t="s">
        <v>58</v>
      </c>
      <c r="AC1" s="212" t="s">
        <v>60</v>
      </c>
      <c r="AD1" s="212" t="s">
        <v>62</v>
      </c>
      <c r="AE1" s="212" t="s">
        <v>64</v>
      </c>
      <c r="AF1" s="212" t="s">
        <v>66</v>
      </c>
      <c r="AG1" s="212" t="s">
        <v>68</v>
      </c>
    </row>
    <row r="2" spans="1:33" s="78" customFormat="1" ht="24" customHeight="1" x14ac:dyDescent="0.35">
      <c r="A2" s="78">
        <v>3</v>
      </c>
      <c r="B2" s="170" t="str">
        <f>IF('PTP_ENG-3'!C5&lt;&gt;"",'PTP_ENG-3'!C5,"-")</f>
        <v>Wisit Inthima</v>
      </c>
      <c r="C2" s="139" t="str">
        <f>IF('PTP_ENG-3'!I5&lt;&gt;"",'PTP_ENG-3'!I5,"-")</f>
        <v>Engineer</v>
      </c>
      <c r="D2" s="139" t="str">
        <f>IF('PTP_ENG-3'!C7&lt;&gt;"",'PTP_ENG-3'!C7,"-")</f>
        <v>Senior Engineer</v>
      </c>
      <c r="E2" s="139" t="str">
        <f>IF('PTP_ENG-3'!F7&lt;&gt;"",'PTP_ENG-3'!F7,"-")</f>
        <v>4ปี 9 เดือน</v>
      </c>
      <c r="F2" s="139">
        <f>IF('PTP_ENG-3'!I7&lt;&gt;"",'PTP_ENG-3'!I7,"-")</f>
        <v>1</v>
      </c>
      <c r="G2" s="139" t="str">
        <f>IF('PTP_ENG-3'!C9&lt;&gt;"",'PTP_ENG-3'!C9,"-")</f>
        <v>Senior</v>
      </c>
      <c r="H2" s="220">
        <f>IF('PTP_ENG-3'!F27&lt;&gt;"",'PTP_ENG-3'!F27,"-")</f>
        <v>1</v>
      </c>
      <c r="I2" s="220">
        <f>IF('PTP_ENG-3'!F28&lt;&gt;"",'PTP_ENG-3'!F28,"-")</f>
        <v>1</v>
      </c>
      <c r="J2" s="220">
        <f>IF('PTP_ENG-3'!F29&lt;&gt;"",'PTP_ENG-3'!F29,"-")</f>
        <v>1</v>
      </c>
      <c r="K2" s="220">
        <f>IF('PTP_ENG-3'!F30&lt;&gt;"",'PTP_ENG-3'!F30,"-")</f>
        <v>1</v>
      </c>
      <c r="L2" s="220">
        <f>IF('PTP_ENG-3'!F31&lt;&gt;"",'PTP_ENG-3'!F31,"-")</f>
        <v>3</v>
      </c>
      <c r="M2" s="220">
        <f>IF('PTP_ENG-3'!F32&lt;&gt;"",'PTP_ENG-3'!F32,"-")</f>
        <v>3</v>
      </c>
      <c r="N2" s="220">
        <f>IF('PTP_ENG-3'!F33&lt;&gt;"",'PTP_ENG-3'!F33,"-")</f>
        <v>2</v>
      </c>
      <c r="O2" s="220">
        <f>IF('PTP_ENG-3'!F34&lt;&gt;"",'PTP_ENG-3'!F34,"-")</f>
        <v>1</v>
      </c>
      <c r="P2" s="220">
        <f>IF('PTP_ENG-3'!F35&lt;&gt;"",'PTP_ENG-3'!F35,"-")</f>
        <v>5</v>
      </c>
      <c r="Q2" s="220">
        <f>IF('PTP_ENG-3'!F36&lt;&gt;"",'PTP_ENG-3'!F36,"-")</f>
        <v>5</v>
      </c>
      <c r="R2" s="220">
        <f>IF('PTP_ENG-3'!F37&lt;&gt;"",'PTP_ENG-3'!F37,"-")</f>
        <v>5</v>
      </c>
      <c r="S2" s="220">
        <f>IF('PTP_ENG-3'!F38&lt;&gt;"",'PTP_ENG-3'!F38,"-")</f>
        <v>5</v>
      </c>
      <c r="T2" s="220">
        <f>IF('PTP_ENG-3'!F39&lt;&gt;"",'PTP_ENG-3'!F39,"-")</f>
        <v>1</v>
      </c>
      <c r="U2" s="220">
        <f>IF('PTP_ENG-3'!F40&lt;&gt;"",'PTP_ENG-3'!F40,"-")</f>
        <v>1</v>
      </c>
      <c r="V2" s="220">
        <f>IF('PTP_ENG-3'!F41&lt;&gt;"",'PTP_ENG-3'!F41,"-")</f>
        <v>5</v>
      </c>
      <c r="W2" s="220">
        <f>IF('PTP_ENG-3'!F42&lt;&gt;"",'PTP_ENG-3'!F42,"-")</f>
        <v>1</v>
      </c>
      <c r="X2" s="220">
        <f>IF('PTP_ENG-3'!F43&lt;&gt;"",'PTP_ENG-3'!F43,"-")</f>
        <v>1</v>
      </c>
      <c r="Y2" s="220">
        <f>IF('PTP_ENG-3'!F44&lt;&gt;"",'PTP_ENG-3'!F44,"-")</f>
        <v>1</v>
      </c>
      <c r="Z2" s="220">
        <f>IF('PTP_ENG-3'!F45&lt;&gt;"",'PTP_ENG-3'!F45,"-")</f>
        <v>1</v>
      </c>
      <c r="AA2" s="220">
        <f>IF('PTP_ENG-3'!F46&lt;&gt;"",'PTP_ENG-3'!F46,"-")</f>
        <v>2</v>
      </c>
      <c r="AB2" s="220">
        <f>IF('PTP_ENG-3'!F41&lt;&gt;"",'PTP_ENG-3'!F47,"-")</f>
        <v>4</v>
      </c>
      <c r="AC2" s="220">
        <f>IF('PTP_ENG-3'!F42&lt;&gt;"",'PTP_ENG-3'!F48,"-")</f>
        <v>4</v>
      </c>
      <c r="AD2" s="220">
        <f>IF('PTP_ENG-3'!F43&lt;&gt;"",'PTP_ENG-3'!F49,"-")</f>
        <v>4</v>
      </c>
      <c r="AE2" s="220">
        <f>IF('PTP_ENG-3'!F44&lt;&gt;"",'PTP_ENG-3'!F50,"-")</f>
        <v>4</v>
      </c>
      <c r="AF2" s="220">
        <f>IF('PTP_ENG-3'!F45&lt;&gt;"",'PTP_ENG-3'!F51,"-")</f>
        <v>5</v>
      </c>
      <c r="AG2" s="220">
        <f>IF('PTP_ENG-3'!F46&lt;&gt;"",'PTP_ENG-3'!F52,"-")</f>
        <v>5</v>
      </c>
    </row>
    <row r="3" spans="1:33" s="79" customFormat="1" ht="24" customHeight="1" x14ac:dyDescent="0.35">
      <c r="A3" s="79">
        <v>8</v>
      </c>
      <c r="B3" s="170" t="str">
        <f>IF('PTP_ENG-8'!C5&lt;&gt;"",'PTP_ENG-8'!C5,"-")</f>
        <v>Nutdanai Tippanontakul</v>
      </c>
      <c r="C3" s="139" t="str">
        <f>IF('PTP_ENG-8'!I5&lt;&gt;"",'PTP_ENG-8'!I5,"-")</f>
        <v>Engineer</v>
      </c>
      <c r="D3" s="139" t="str">
        <f>IF('PTP_ENG-8'!C7&lt;&gt;"",'PTP_ENG-8'!C7,"-")</f>
        <v>Senior Engineer</v>
      </c>
      <c r="E3" s="139" t="str">
        <f>IF('PTP_ENG-8'!F7&lt;&gt;"",'PTP_ENG-8'!F7,"-")</f>
        <v>3 ปี 8 เดือน</v>
      </c>
      <c r="F3" s="139">
        <f>IF('PTP_ENG-8'!I7&lt;&gt;"",'PTP_ENG-8'!I7,"-")</f>
        <v>1</v>
      </c>
      <c r="G3" s="139" t="str">
        <f>IF('PTP_ENG-8'!C9&lt;&gt;"",'PTP_ENG-8'!C9,"-")</f>
        <v>Lead</v>
      </c>
      <c r="H3" s="221">
        <f>IF('PTP_ENG-8'!F27&lt;&gt;"",'PTP_ENG-8'!F27,"-")</f>
        <v>1</v>
      </c>
      <c r="I3" s="221">
        <f>IF('PTP_ENG-8'!F28&lt;&gt;"",'PTP_ENG-8'!F28,"-")</f>
        <v>1</v>
      </c>
      <c r="J3" s="221">
        <f>IF('PTP_ENG-8'!F29&lt;&gt;"",'PTP_ENG-8'!F29,"-")</f>
        <v>1</v>
      </c>
      <c r="K3" s="221">
        <f>IF('PTP_ENG-8'!F30&lt;&gt;"",'PTP_ENG-8'!F30,"-")</f>
        <v>1</v>
      </c>
      <c r="L3" s="221">
        <f>IF('PTP_ENG-8'!F31&lt;&gt;"",'PTP_ENG-8'!F31,"-")</f>
        <v>1</v>
      </c>
      <c r="M3" s="221">
        <f>IF('PTP_ENG-8'!F32&lt;&gt;"",'PTP_ENG-8'!F32,"-")</f>
        <v>1</v>
      </c>
      <c r="N3" s="221">
        <f>IF('PTP_ENG-8'!F33&lt;&gt;"",'PTP_ENG-8'!F33,"-")</f>
        <v>1</v>
      </c>
      <c r="O3" s="221">
        <f>IF('PTP_ENG-8'!F34&lt;&gt;"",'PTP_ENG-8'!F34,"-")</f>
        <v>3</v>
      </c>
      <c r="P3" s="221">
        <f>IF('PTP_ENG-8'!F35&lt;&gt;"",'PTP_ENG-8'!F35,"-")</f>
        <v>1</v>
      </c>
      <c r="Q3" s="221">
        <f>IF('PTP_ENG-8'!F36&lt;&gt;"",'PTP_ENG-8'!F36,"-")</f>
        <v>1</v>
      </c>
      <c r="R3" s="221">
        <f>IF('PTP_ENG-8'!F37&lt;&gt;"",'PTP_ENG-8'!F37,"-")</f>
        <v>5</v>
      </c>
      <c r="S3" s="221">
        <f>IF('PTP_ENG-8'!F38&lt;&gt;"",'PTP_ENG-8'!F38,"-")</f>
        <v>5</v>
      </c>
      <c r="T3" s="221">
        <f>IF('PTP_ENG-8'!F39&lt;&gt;"",'PTP_ENG-8'!F39,"-")</f>
        <v>1</v>
      </c>
      <c r="U3" s="221">
        <f>IF('PTP_ENG-8'!F40&lt;&gt;"",'PTP_ENG-8'!F40,"-")</f>
        <v>1</v>
      </c>
      <c r="V3" s="221">
        <f>IF('PTP_ENG-8'!F41&lt;&gt;"",'PTP_ENG-8'!F41,"-")</f>
        <v>4</v>
      </c>
      <c r="W3" s="221">
        <f>IF('PTP_ENG-8'!F42&lt;&gt;"",'PTP_ENG-8'!F42,"-")</f>
        <v>3</v>
      </c>
      <c r="X3" s="221">
        <f>IF('PTP_ENG-8'!F43&lt;&gt;"",'PTP_ENG-8'!F43,"-")</f>
        <v>4</v>
      </c>
      <c r="Y3" s="221">
        <f>IF('PTP_ENG-8'!F44&lt;&gt;"",'PTP_ENG-8'!F44,"-")</f>
        <v>1</v>
      </c>
      <c r="Z3" s="221">
        <f>IF('PTP_ENG-8'!F45&lt;&gt;"",'PTP_ENG-8'!F45,"-")</f>
        <v>1</v>
      </c>
      <c r="AA3" s="221">
        <f>IF('PTP_ENG-8'!F46&lt;&gt;"",'PTP_ENG-8'!F46,"-")</f>
        <v>1</v>
      </c>
      <c r="AB3" s="221">
        <f>IF('PTP_ENG-8'!F41&lt;&gt;"",'PTP_ENG-8'!F47,"-")</f>
        <v>2</v>
      </c>
      <c r="AC3" s="221">
        <f>IF('PTP_ENG-8'!F42&lt;&gt;"",'PTP_ENG-8'!F48,"-")</f>
        <v>2</v>
      </c>
      <c r="AD3" s="221">
        <f>IF('PTP_ENG-8'!F43&lt;&gt;"",'PTP_ENG-8'!F49,"-")</f>
        <v>1</v>
      </c>
      <c r="AE3" s="221">
        <f>IF('PTP_ENG-8'!F44&lt;&gt;"",'PTP_ENG-8'!F50,"-")</f>
        <v>3</v>
      </c>
      <c r="AF3" s="221">
        <f>IF('PTP_ENG-8'!F45&lt;&gt;"",'PTP_ENG-8'!F51,"-")</f>
        <v>3</v>
      </c>
      <c r="AG3" s="221">
        <f>IF('PTP_ENG-8'!F46&lt;&gt;"",'PTP_ENG-8'!F52,"-")</f>
        <v>2</v>
      </c>
    </row>
    <row r="4" spans="1:33" s="78" customFormat="1" ht="24" customHeight="1" x14ac:dyDescent="0.35">
      <c r="A4" s="78">
        <v>17</v>
      </c>
      <c r="B4" s="170" t="str">
        <f>IF('PTP_ENG-17'!C5&lt;&gt;"",'PTP_ENG-17'!C5,"-")</f>
        <v>Kittitoch Phuekphaiphatmat</v>
      </c>
      <c r="C4" s="139" t="str">
        <f>IF('PTP_ENG-17'!I5&lt;&gt;"",'PTP_ENG-17'!I5,"-")</f>
        <v>Engineer</v>
      </c>
      <c r="D4" s="139" t="str">
        <f>IF('PTP_ENG-17'!C7&lt;&gt;"",'PTP_ENG-17'!C7,"-")</f>
        <v>Python Developer</v>
      </c>
      <c r="E4" s="139">
        <f>IF('PTP_ENG-17'!F7&lt;&gt;"",'PTP_ENG-17'!F7,"-")</f>
        <v>1</v>
      </c>
      <c r="F4" s="139">
        <f>IF('PTP_ENG-17'!I7&lt;&gt;"",'PTP_ENG-17'!I7,"-")</f>
        <v>1</v>
      </c>
      <c r="G4" s="139" t="str">
        <f>IF('PTP_ENG-17'!C9&lt;&gt;"",'PTP_ENG-17'!C9,"-")</f>
        <v>Intermediate</v>
      </c>
      <c r="H4" s="220">
        <f>IF('PTP_ENG-17'!F27&lt;&gt;"",'PTP_ENG-17'!F27,"-")</f>
        <v>1</v>
      </c>
      <c r="I4" s="220">
        <f>IF('PTP_ENG-17'!F28&lt;&gt;"",'PTP_ENG-17'!F28,"-")</f>
        <v>1</v>
      </c>
      <c r="J4" s="220">
        <f>IF('PTP_ENG-17'!F29&lt;&gt;"",'PTP_ENG-17'!F29,"-")</f>
        <v>1</v>
      </c>
      <c r="K4" s="220">
        <f>IF('PTP_ENG-17'!F30&lt;&gt;"",'PTP_ENG-17'!F30,"-")</f>
        <v>1</v>
      </c>
      <c r="L4" s="220">
        <f>IF('PTP_ENG-17'!F31&lt;&gt;"",'PTP_ENG-17'!F31,"-")</f>
        <v>1</v>
      </c>
      <c r="M4" s="220">
        <f>IF('PTP_ENG-17'!F32&lt;&gt;"",'PTP_ENG-17'!F32,"-")</f>
        <v>1</v>
      </c>
      <c r="N4" s="220">
        <f>IF('PTP_ENG-17'!F33&lt;&gt;"",'PTP_ENG-17'!F33,"-")</f>
        <v>1</v>
      </c>
      <c r="O4" s="220">
        <f>IF('PTP_ENG-17'!F34&lt;&gt;"",'PTP_ENG-17'!F34,"-")</f>
        <v>1</v>
      </c>
      <c r="P4" s="220">
        <f>IF('PTP_ENG-17'!F35&lt;&gt;"",'PTP_ENG-17'!F35,"-")</f>
        <v>1</v>
      </c>
      <c r="Q4" s="220">
        <f>IF('PTP_ENG-17'!F36&lt;&gt;"",'PTP_ENG-17'!F36,"-")</f>
        <v>1</v>
      </c>
      <c r="R4" s="220">
        <f>IF('PTP_ENG-17'!F37&lt;&gt;"",'PTP_ENG-17'!F37,"-")</f>
        <v>3</v>
      </c>
      <c r="S4" s="220">
        <f>IF('PTP_ENG-17'!F38&lt;&gt;"",'PTP_ENG-17'!F38,"-")</f>
        <v>3</v>
      </c>
      <c r="T4" s="220">
        <f>IF('PTP_ENG-17'!F39&lt;&gt;"",'PTP_ENG-17'!F39,"-")</f>
        <v>3</v>
      </c>
      <c r="U4" s="220">
        <f>IF('PTP_ENG-17'!F40&lt;&gt;"",'PTP_ENG-17'!F40,"-")</f>
        <v>2</v>
      </c>
      <c r="V4" s="220">
        <f>IF('PTP_ENG-17'!F41&lt;&gt;"",'PTP_ENG-17'!F41,"-")</f>
        <v>3</v>
      </c>
      <c r="W4" s="220">
        <f>IF('PTP_ENG-17'!F42&lt;&gt;"",'PTP_ENG-17'!F42,"-")</f>
        <v>3</v>
      </c>
      <c r="X4" s="220">
        <f>IF('PTP_ENG-17'!F43&lt;&gt;"",'PTP_ENG-17'!F43,"-")</f>
        <v>3</v>
      </c>
      <c r="Y4" s="220">
        <f>IF('PTP_ENG-17'!F44&lt;&gt;"",'PTP_ENG-17'!F44,"-")</f>
        <v>1</v>
      </c>
      <c r="Z4" s="220">
        <f>IF('PTP_ENG-17'!F45&lt;&gt;"",'PTP_ENG-17'!F45,"-")</f>
        <v>1</v>
      </c>
      <c r="AA4" s="220">
        <f>IF('PTP_ENG-17'!F46&lt;&gt;"",'PTP_ENG-17'!F46,"-")</f>
        <v>1</v>
      </c>
      <c r="AB4" s="220">
        <f>IF('PTP_ENG-17'!F41&lt;&gt;"",'PTP_ENG-17'!F47,"-")</f>
        <v>1</v>
      </c>
      <c r="AC4" s="220">
        <f>IF('PTP_ENG-17'!F42&lt;&gt;"",'PTP_ENG-17'!F48,"-")</f>
        <v>1</v>
      </c>
      <c r="AD4" s="220">
        <f>IF('PTP_ENG-17'!F43&lt;&gt;"",'PTP_ENG-17'!F49,"-")</f>
        <v>1</v>
      </c>
      <c r="AE4" s="220">
        <f>IF('PTP_ENG-17'!F44&lt;&gt;"",'PTP_ENG-17'!F50,"-")</f>
        <v>2</v>
      </c>
      <c r="AF4" s="220">
        <f>IF('PTP_ENG-17'!F45&lt;&gt;"",'PTP_ENG-17'!F51,"-")</f>
        <v>3</v>
      </c>
      <c r="AG4" s="220">
        <f>IF('PTP_ENG-17'!F46&lt;&gt;"",'PTP_ENG-17'!F52,"-")</f>
        <v>1</v>
      </c>
    </row>
    <row r="5" spans="1:33" s="78" customFormat="1" ht="24" customHeight="1" x14ac:dyDescent="0.35">
      <c r="A5" s="78">
        <v>1</v>
      </c>
      <c r="B5" s="170" t="str">
        <f>IF('PTP_ENG-1'!C5&lt;&gt;"",'PTP_ENG-1'!C5,"-")</f>
        <v>Siphong Tanavongchinda</v>
      </c>
      <c r="C5" s="139" t="str">
        <f>IF('PTP_ENG-1'!I5&lt;&gt;"",'PTP_ENG-1'!I5,"-")</f>
        <v>Engineer</v>
      </c>
      <c r="D5" s="139" t="str">
        <f>IF('PTP_ENG-1'!C7&lt;&gt;"",'PTP_ENG-1'!C7,"-")</f>
        <v>CTO</v>
      </c>
      <c r="E5" s="139" t="str">
        <f>IF('PTP_ENG-1'!F7&lt;&gt;"",'PTP_ENG-1'!F7,"-")</f>
        <v>6 ปี 5 เดือน</v>
      </c>
      <c r="F5" s="139">
        <f>IF('PTP_ENG-1'!I7&lt;&gt;"",'PTP_ENG-1'!I7,"-")</f>
        <v>1</v>
      </c>
      <c r="G5" s="139" t="str">
        <f>IF('PTP_ENG-1'!C9&lt;&gt;"",'PTP_ENG-1'!C9,"-")</f>
        <v>Lead</v>
      </c>
      <c r="H5" s="220">
        <f>IF('PTP_ENG-1'!F27&lt;&gt;"",'PTP_ENG-1'!F27,"-")</f>
        <v>1</v>
      </c>
      <c r="I5" s="220">
        <f>IF('PTP_ENG-1'!F28&lt;&gt;"",'PTP_ENG-1'!F28,"-")</f>
        <v>1</v>
      </c>
      <c r="J5" s="220">
        <f>IF('PTP_ENG-1'!F29&lt;&gt;"",'PTP_ENG-1'!F29,"-")</f>
        <v>1</v>
      </c>
      <c r="K5" s="220">
        <f>IF('PTP_ENG-1'!F30&lt;&gt;"",'PTP_ENG-1'!F30,"-")</f>
        <v>2</v>
      </c>
      <c r="L5" s="220">
        <f>IF('PTP_ENG-1'!F31&lt;&gt;"",'PTP_ENG-1'!F31,"-")</f>
        <v>3</v>
      </c>
      <c r="M5" s="220">
        <f>IF('PTP_ENG-1'!F32&lt;&gt;"",'PTP_ENG-1'!F32,"-")</f>
        <v>3</v>
      </c>
      <c r="N5" s="220">
        <f>IF('PTP_ENG-1'!F33&lt;&gt;"",'PTP_ENG-1'!F33,"-")</f>
        <v>1</v>
      </c>
      <c r="O5" s="220">
        <f>IF('PTP_ENG-1'!F34&lt;&gt;"",'PTP_ENG-1'!F34,"-")</f>
        <v>3</v>
      </c>
      <c r="P5" s="220">
        <f>IF('PTP_ENG-1'!F35&lt;&gt;"",'PTP_ENG-1'!F35,"-")</f>
        <v>1</v>
      </c>
      <c r="Q5" s="220">
        <f>IF('PTP_ENG-1'!F36&lt;&gt;"",'PTP_ENG-1'!F36,"-")</f>
        <v>1</v>
      </c>
      <c r="R5" s="220">
        <f>IF('PTP_ENG-1'!F37&lt;&gt;"",'PTP_ENG-1'!F37,"-")</f>
        <v>3</v>
      </c>
      <c r="S5" s="220">
        <f>IF('PTP_ENG-1'!F38&lt;&gt;"",'PTP_ENG-1'!F38,"-")</f>
        <v>3</v>
      </c>
      <c r="T5" s="220">
        <f>IF('PTP_ENG-1'!F39&lt;&gt;"",'PTP_ENG-1'!F39,"-")</f>
        <v>4</v>
      </c>
      <c r="U5" s="220">
        <f>IF('PTP_ENG-1'!F40&lt;&gt;"",'PTP_ENG-1'!F40,"-")</f>
        <v>2</v>
      </c>
      <c r="V5" s="220">
        <f>IF('PTP_ENG-1'!F41&lt;&gt;"",'PTP_ENG-1'!F41,"-")</f>
        <v>3</v>
      </c>
      <c r="W5" s="220">
        <f>IF('PTP_ENG-1'!F42&lt;&gt;"",'PTP_ENG-1'!F42,"-")</f>
        <v>2</v>
      </c>
      <c r="X5" s="220">
        <f>IF('PTP_ENG-1'!F43&lt;&gt;"",'PTP_ENG-1'!F43,"-")</f>
        <v>1</v>
      </c>
      <c r="Y5" s="220">
        <f>IF('PTP_ENG-1'!F44&lt;&gt;"",'PTP_ENG-1'!F44,"-")</f>
        <v>1</v>
      </c>
      <c r="Z5" s="220">
        <f>IF('PTP_ENG-1'!F45&lt;&gt;"",'PTP_ENG-1'!F45,"-")</f>
        <v>1</v>
      </c>
      <c r="AA5" s="220">
        <f>IF('PTP_ENG-1'!F46&lt;&gt;"",'PTP_ENG-1'!F46,"-")</f>
        <v>1</v>
      </c>
      <c r="AB5" s="220">
        <f>IF('PTP_ENG-1'!F41&lt;&gt;"",'PTP_ENG-1'!F47,"-")</f>
        <v>3</v>
      </c>
      <c r="AC5" s="220">
        <f>IF('PTP_ENG-1'!F42&lt;&gt;"",'PTP_ENG-1'!F48,"-")</f>
        <v>3</v>
      </c>
      <c r="AD5" s="220">
        <f>IF('PTP_ENG-1'!F43&lt;&gt;"",'PTP_ENG-1'!F49,"-")</f>
        <v>3</v>
      </c>
      <c r="AE5" s="220">
        <f>IF('PTP_ENG-1'!F44&lt;&gt;"",'PTP_ENG-1'!F50,"-")</f>
        <v>1</v>
      </c>
      <c r="AF5" s="220">
        <f>IF('PTP_ENG-1'!F45&lt;&gt;"",'PTP_ENG-1'!F51,"-")</f>
        <v>4</v>
      </c>
      <c r="AG5" s="220">
        <f>IF('PTP_ENG-1'!F46&lt;&gt;"",'PTP_ENG-1'!F52,"-")</f>
        <v>2</v>
      </c>
    </row>
    <row r="6" spans="1:33" s="78" customFormat="1" ht="24" customHeight="1" x14ac:dyDescent="0.35">
      <c r="A6" s="78">
        <v>15</v>
      </c>
      <c r="B6" s="170" t="str">
        <f>IF('PTP_ENG-15'!C5&lt;&gt;"",'PTP_ENG-15'!C5,"-")</f>
        <v>Wasin Petcharat</v>
      </c>
      <c r="C6" s="139" t="str">
        <f>IF('PTP_ENG-15'!I5&lt;&gt;"",'PTP_ENG-15'!I5,"-")</f>
        <v>Engineer</v>
      </c>
      <c r="D6" s="139" t="str">
        <f>IF('PTP_ENG-15'!C7&lt;&gt;"",'PTP_ENG-15'!C7,"-")</f>
        <v>Software Engineer</v>
      </c>
      <c r="E6" s="139" t="str">
        <f>IF('PTP_ENG-15'!F7&lt;&gt;"",'PTP_ENG-15'!F7,"-")</f>
        <v>1y 10m</v>
      </c>
      <c r="F6" s="139">
        <f>IF('PTP_ENG-15'!I7&lt;&gt;"",'PTP_ENG-15'!I7,"-")</f>
        <v>1</v>
      </c>
      <c r="G6" s="139" t="str">
        <f>IF('PTP_ENG-15'!C9&lt;&gt;"",'PTP_ENG-15'!C9,"-")</f>
        <v>Intermediate</v>
      </c>
      <c r="H6" s="220">
        <f>IF('PTP_ENG-15'!F27&lt;&gt;"",'PTP_ENG-15'!F27,"-")</f>
        <v>1</v>
      </c>
      <c r="I6" s="220">
        <f>IF('PTP_ENG-15'!F28&lt;&gt;"",'PTP_ENG-15'!F28,"-")</f>
        <v>1</v>
      </c>
      <c r="J6" s="220">
        <f>IF('PTP_ENG-15'!F29&lt;&gt;"",'PTP_ENG-15'!F29,"-")</f>
        <v>1</v>
      </c>
      <c r="K6" s="220">
        <f>IF('PTP_ENG-15'!F30&lt;&gt;"",'PTP_ENG-15'!F30,"-")</f>
        <v>1</v>
      </c>
      <c r="L6" s="220">
        <f>IF('PTP_ENG-15'!F31&lt;&gt;"",'PTP_ENG-15'!F31,"-")</f>
        <v>1</v>
      </c>
      <c r="M6" s="220">
        <f>IF('PTP_ENG-15'!F32&lt;&gt;"",'PTP_ENG-15'!F32,"-")</f>
        <v>1</v>
      </c>
      <c r="N6" s="220">
        <f>IF('PTP_ENG-15'!F33&lt;&gt;"",'PTP_ENG-15'!F33,"-")</f>
        <v>1</v>
      </c>
      <c r="O6" s="220">
        <f>IF('PTP_ENG-15'!F34&lt;&gt;"",'PTP_ENG-15'!F34,"-")</f>
        <v>1</v>
      </c>
      <c r="P6" s="220">
        <f>IF('PTP_ENG-15'!F35&lt;&gt;"",'PTP_ENG-15'!F35,"-")</f>
        <v>1</v>
      </c>
      <c r="Q6" s="220">
        <f>IF('PTP_ENG-15'!F36&lt;&gt;"",'PTP_ENG-15'!F36,"-")</f>
        <v>1</v>
      </c>
      <c r="R6" s="220">
        <f>IF('PTP_ENG-15'!F37&lt;&gt;"",'PTP_ENG-15'!F37,"-")</f>
        <v>2</v>
      </c>
      <c r="S6" s="220">
        <f>IF('PTP_ENG-15'!F38&lt;&gt;"",'PTP_ENG-15'!F38,"-")</f>
        <v>3</v>
      </c>
      <c r="T6" s="220">
        <f>IF('PTP_ENG-15'!F39&lt;&gt;"",'PTP_ENG-15'!F39,"-")</f>
        <v>3</v>
      </c>
      <c r="U6" s="220">
        <f>IF('PTP_ENG-15'!F40&lt;&gt;"",'PTP_ENG-15'!F40,"-")</f>
        <v>3</v>
      </c>
      <c r="V6" s="220">
        <f>IF('PTP_ENG-15'!F41&lt;&gt;"",'PTP_ENG-15'!F41,"-")</f>
        <v>3</v>
      </c>
      <c r="W6" s="220">
        <f>IF('PTP_ENG-15'!F42&lt;&gt;"",'PTP_ENG-15'!F42,"-")</f>
        <v>2</v>
      </c>
      <c r="X6" s="220">
        <f>IF('PTP_ENG-15'!F43&lt;&gt;"",'PTP_ENG-15'!F43,"-")</f>
        <v>1</v>
      </c>
      <c r="Y6" s="220">
        <f>IF('PTP_ENG-15'!F44&lt;&gt;"",'PTP_ENG-15'!F44,"-")</f>
        <v>1</v>
      </c>
      <c r="Z6" s="220">
        <f>IF('PTP_ENG-15'!F45&lt;&gt;"",'PTP_ENG-15'!F45,"-")</f>
        <v>1</v>
      </c>
      <c r="AA6" s="220">
        <f>IF('PTP_ENG-15'!F46&lt;&gt;"",'PTP_ENG-15'!F46,"-")</f>
        <v>1</v>
      </c>
      <c r="AB6" s="220">
        <f>IF('PTP_ENG-15'!F41&lt;&gt;"",'PTP_ENG-15'!F47,"-")</f>
        <v>2</v>
      </c>
      <c r="AC6" s="220">
        <f>IF('PTP_ENG-15'!F42&lt;&gt;"",'PTP_ENG-15'!F48,"-")</f>
        <v>2</v>
      </c>
      <c r="AD6" s="220">
        <f>IF('PTP_ENG-15'!F43&lt;&gt;"",'PTP_ENG-15'!F49,"-")</f>
        <v>2</v>
      </c>
      <c r="AE6" s="220">
        <f>IF('PTP_ENG-15'!F44&lt;&gt;"",'PTP_ENG-15'!F50,"-")</f>
        <v>3</v>
      </c>
      <c r="AF6" s="220">
        <f>IF('PTP_ENG-15'!F45&lt;&gt;"",'PTP_ENG-15'!F51,"-")</f>
        <v>3</v>
      </c>
      <c r="AG6" s="220">
        <f>IF('PTP_ENG-15'!F46&lt;&gt;"",'PTP_ENG-15'!F52,"-")</f>
        <v>3</v>
      </c>
    </row>
    <row r="7" spans="1:33" s="78" customFormat="1" ht="24" customHeight="1" x14ac:dyDescent="0.35">
      <c r="A7" s="79">
        <v>2</v>
      </c>
      <c r="B7" s="170" t="str">
        <f>IF('PTP_ENG-2'!C5&lt;&gt;"",'PTP_ENG-2'!C5,"-")</f>
        <v>Ladda Udomsiripinij</v>
      </c>
      <c r="C7" s="139" t="str">
        <f>IF('PTP_ENG-2'!I5&lt;&gt;"",'PTP_ENG-2'!I5,"-")</f>
        <v>Engineer</v>
      </c>
      <c r="D7" s="139" t="str">
        <f>IF('PTP_ENG-2'!C7&lt;&gt;"",'PTP_ENG-2'!C7,"-")</f>
        <v>Development Manager</v>
      </c>
      <c r="E7" s="139" t="str">
        <f>IF('PTP_ENG-2'!F7&lt;&gt;"",'PTP_ENG-2'!F7,"-")</f>
        <v>5 ปี 6 เดือน</v>
      </c>
      <c r="F7" s="139">
        <f>IF('PTP_ENG-2'!I7&lt;&gt;"",'PTP_ENG-2'!I7,"-")</f>
        <v>1</v>
      </c>
      <c r="G7" s="139" t="str">
        <f>IF('PTP_ENG-2'!C9&lt;&gt;"",'PTP_ENG-2'!C9,"-")</f>
        <v>Lead</v>
      </c>
      <c r="H7" s="220">
        <f>IF('PTP_ENG-2'!F27&lt;&gt;"",'PTP_ENG-2'!F27,"-")</f>
        <v>2</v>
      </c>
      <c r="I7" s="220">
        <f>IF('PTP_ENG-2'!F28&lt;&gt;"",'PTP_ENG-2'!F28,"-")</f>
        <v>1</v>
      </c>
      <c r="J7" s="220">
        <f>IF('PTP_ENG-2'!F29&lt;&gt;"",'PTP_ENG-2'!F29,"-")</f>
        <v>1</v>
      </c>
      <c r="K7" s="220">
        <f>IF('PTP_ENG-2'!F30&lt;&gt;"",'PTP_ENG-2'!F30,"-")</f>
        <v>1</v>
      </c>
      <c r="L7" s="220">
        <f>IF('PTP_ENG-2'!F31&lt;&gt;"",'PTP_ENG-2'!F31,"-")</f>
        <v>2</v>
      </c>
      <c r="M7" s="220">
        <f>IF('PTP_ENG-2'!F32&lt;&gt;"",'PTP_ENG-2'!F32,"-")</f>
        <v>1</v>
      </c>
      <c r="N7" s="220">
        <f>IF('PTP_ENG-2'!F33&lt;&gt;"",'PTP_ENG-2'!F33,"-")</f>
        <v>1</v>
      </c>
      <c r="O7" s="220">
        <f>IF('PTP_ENG-2'!F34&lt;&gt;"",'PTP_ENG-2'!F34,"-")</f>
        <v>1</v>
      </c>
      <c r="P7" s="220">
        <f>IF('PTP_ENG-2'!F35&lt;&gt;"",'PTP_ENG-2'!F35,"-")</f>
        <v>1</v>
      </c>
      <c r="Q7" s="220">
        <f>IF('PTP_ENG-2'!F36&lt;&gt;"",'PTP_ENG-2'!F36,"-")</f>
        <v>1</v>
      </c>
      <c r="R7" s="220">
        <f>IF('PTP_ENG-2'!F37&lt;&gt;"",'PTP_ENG-2'!F37,"-")</f>
        <v>3</v>
      </c>
      <c r="S7" s="220">
        <f>IF('PTP_ENG-2'!F38&lt;&gt;"",'PTP_ENG-2'!F38,"-")</f>
        <v>3</v>
      </c>
      <c r="T7" s="220">
        <f>IF('PTP_ENG-2'!F39&lt;&gt;"",'PTP_ENG-2'!F39,"-")</f>
        <v>3</v>
      </c>
      <c r="U7" s="220">
        <f>IF('PTP_ENG-2'!F40&lt;&gt;"",'PTP_ENG-2'!F40,"-")</f>
        <v>1</v>
      </c>
      <c r="V7" s="220">
        <f>IF('PTP_ENG-2'!F41&lt;&gt;"",'PTP_ENG-2'!F41,"-")</f>
        <v>3</v>
      </c>
      <c r="W7" s="220">
        <f>IF('PTP_ENG-2'!F42&lt;&gt;"",'PTP_ENG-2'!F42,"-")</f>
        <v>1</v>
      </c>
      <c r="X7" s="220">
        <f>IF('PTP_ENG-2'!F43&lt;&gt;"",'PTP_ENG-2'!F43,"-")</f>
        <v>1</v>
      </c>
      <c r="Y7" s="220">
        <f>IF('PTP_ENG-2'!F44&lt;&gt;"",'PTP_ENG-2'!F44,"-")</f>
        <v>1</v>
      </c>
      <c r="Z7" s="220">
        <f>IF('PTP_ENG-2'!F45&lt;&gt;"",'PTP_ENG-2'!F45,"-")</f>
        <v>1</v>
      </c>
      <c r="AA7" s="220">
        <f>IF('PTP_ENG-2'!F46&lt;&gt;"",'PTP_ENG-2'!F46,"-")</f>
        <v>1</v>
      </c>
      <c r="AB7" s="220">
        <f>IF('PTP_ENG-2'!F41&lt;&gt;"",'PTP_ENG-2'!F47,"-")</f>
        <v>3</v>
      </c>
      <c r="AC7" s="220">
        <f>IF('PTP_ENG-2'!F42&lt;&gt;"",'PTP_ENG-2'!F48,"-")</f>
        <v>3</v>
      </c>
      <c r="AD7" s="220">
        <f>IF('PTP_ENG-2'!F43&lt;&gt;"",'PTP_ENG-2'!F49,"-")</f>
        <v>3</v>
      </c>
      <c r="AE7" s="220">
        <f>IF('PTP_ENG-2'!F44&lt;&gt;"",'PTP_ENG-2'!F50,"-")</f>
        <v>2</v>
      </c>
      <c r="AF7" s="220">
        <f>IF('PTP_ENG-2'!F45&lt;&gt;"",'PTP_ENG-2'!F51,"-")</f>
        <v>3</v>
      </c>
      <c r="AG7" s="220">
        <f>IF('PTP_ENG-2'!F46&lt;&gt;"",'PTP_ENG-2'!F52,"-")</f>
        <v>3</v>
      </c>
    </row>
    <row r="8" spans="1:33" s="78" customFormat="1" ht="24" customHeight="1" x14ac:dyDescent="0.35">
      <c r="A8" s="78">
        <v>5</v>
      </c>
      <c r="B8" s="170" t="str">
        <f>IF('PTP_ENG-5'!C5&lt;&gt;"",'PTP_ENG-5'!C5,"-")</f>
        <v>Kornthip Nakchamratsri</v>
      </c>
      <c r="C8" s="139" t="str">
        <f>IF('PTP_ENG-5'!I5&lt;&gt;"",'PTP_ENG-5'!I5,"-")</f>
        <v>Engineer</v>
      </c>
      <c r="D8" s="139" t="str">
        <f>IF('PTP_ENG-5'!C7&lt;&gt;"",'PTP_ENG-5'!C7,"-")</f>
        <v>Software Engineer</v>
      </c>
      <c r="E8" s="139" t="str">
        <f>IF('PTP_ENG-5'!F7&lt;&gt;"",'PTP_ENG-5'!F7,"-")</f>
        <v>4 ปี  1 เดือน</v>
      </c>
      <c r="F8" s="139">
        <f>IF('PTP_ENG-5'!I7&lt;&gt;"",'PTP_ENG-5'!I7,"-")</f>
        <v>1</v>
      </c>
      <c r="G8" s="139" t="str">
        <f>IF('PTP_ENG-5'!C9&lt;&gt;"",'PTP_ENG-5'!C9,"-")</f>
        <v>Senior</v>
      </c>
      <c r="H8" s="220">
        <f>IF('PTP_ENG-5'!F27&lt;&gt;"",'PTP_ENG-5'!F27,"-")</f>
        <v>2</v>
      </c>
      <c r="I8" s="220">
        <f>IF('PTP_ENG-5'!F28&lt;&gt;"",'PTP_ENG-5'!F28,"-")</f>
        <v>2</v>
      </c>
      <c r="J8" s="220">
        <f>IF('PTP_ENG-5'!F29&lt;&gt;"",'PTP_ENG-5'!F29,"-")</f>
        <v>2</v>
      </c>
      <c r="K8" s="220">
        <f>IF('PTP_ENG-5'!F30&lt;&gt;"",'PTP_ENG-5'!F30,"-")</f>
        <v>2</v>
      </c>
      <c r="L8" s="220">
        <f>IF('PTP_ENG-5'!F31&lt;&gt;"",'PTP_ENG-5'!F31,"-")</f>
        <v>1</v>
      </c>
      <c r="M8" s="220">
        <f>IF('PTP_ENG-5'!F32&lt;&gt;"",'PTP_ENG-5'!F32,"-")</f>
        <v>1</v>
      </c>
      <c r="N8" s="220">
        <f>IF('PTP_ENG-5'!F33&lt;&gt;"",'PTP_ENG-5'!F33,"-")</f>
        <v>1</v>
      </c>
      <c r="O8" s="220">
        <f>IF('PTP_ENG-5'!F34&lt;&gt;"",'PTP_ENG-5'!F34,"-")</f>
        <v>1</v>
      </c>
      <c r="P8" s="220">
        <f>IF('PTP_ENG-5'!F35&lt;&gt;"",'PTP_ENG-5'!F35,"-")</f>
        <v>1</v>
      </c>
      <c r="Q8" s="220">
        <f>IF('PTP_ENG-5'!F36&lt;&gt;"",'PTP_ENG-5'!F36,"-")</f>
        <v>1</v>
      </c>
      <c r="R8" s="220">
        <f>IF('PTP_ENG-5'!F37&lt;&gt;"",'PTP_ENG-5'!F37,"-")</f>
        <v>3</v>
      </c>
      <c r="S8" s="220">
        <f>IF('PTP_ENG-5'!F38&lt;&gt;"",'PTP_ENG-5'!F38,"-")</f>
        <v>3</v>
      </c>
      <c r="T8" s="220">
        <f>IF('PTP_ENG-5'!F39&lt;&gt;"",'PTP_ENG-5'!F39,"-")</f>
        <v>2</v>
      </c>
      <c r="U8" s="220">
        <f>IF('PTP_ENG-5'!F40&lt;&gt;"",'PTP_ENG-5'!F40,"-")</f>
        <v>1</v>
      </c>
      <c r="V8" s="220">
        <f>IF('PTP_ENG-5'!F41&lt;&gt;"",'PTP_ENG-5'!F41,"-")</f>
        <v>3</v>
      </c>
      <c r="W8" s="220">
        <f>IF('PTP_ENG-5'!F42&lt;&gt;"",'PTP_ENG-5'!F42,"-")</f>
        <v>1</v>
      </c>
      <c r="X8" s="220">
        <f>IF('PTP_ENG-5'!F43&lt;&gt;"",'PTP_ENG-5'!F43,"-")</f>
        <v>1</v>
      </c>
      <c r="Y8" s="220">
        <f>IF('PTP_ENG-5'!F44&lt;&gt;"",'PTP_ENG-5'!F44,"-")</f>
        <v>1</v>
      </c>
      <c r="Z8" s="220">
        <f>IF('PTP_ENG-5'!F45&lt;&gt;"",'PTP_ENG-5'!F45,"-")</f>
        <v>1</v>
      </c>
      <c r="AA8" s="220">
        <f>IF('PTP_ENG-5'!F46&lt;&gt;"",'PTP_ENG-5'!F46,"-")</f>
        <v>1</v>
      </c>
      <c r="AB8" s="220">
        <f>IF('PTP_ENG-5'!F41&lt;&gt;"",'PTP_ENG-5'!F47,"-")</f>
        <v>2</v>
      </c>
      <c r="AC8" s="220">
        <f>IF('PTP_ENG-5'!F42&lt;&gt;"",'PTP_ENG-5'!F48,"-")</f>
        <v>3</v>
      </c>
      <c r="AD8" s="220">
        <f>IF('PTP_ENG-5'!F43&lt;&gt;"",'PTP_ENG-5'!F49,"-")</f>
        <v>2</v>
      </c>
      <c r="AE8" s="220">
        <f>IF('PTP_ENG-5'!F44&lt;&gt;"",'PTP_ENG-5'!F50,"-")</f>
        <v>3</v>
      </c>
      <c r="AF8" s="220">
        <f>IF('PTP_ENG-5'!F45&lt;&gt;"",'PTP_ENG-5'!F51,"-")</f>
        <v>2</v>
      </c>
      <c r="AG8" s="220">
        <f>IF('PTP_ENG-5'!F46&lt;&gt;"",'PTP_ENG-5'!F52,"-")</f>
        <v>2</v>
      </c>
    </row>
    <row r="9" spans="1:33" s="78" customFormat="1" ht="24" customHeight="1" x14ac:dyDescent="0.35">
      <c r="A9" s="78">
        <v>4</v>
      </c>
      <c r="B9" s="170" t="str">
        <f>IF('PTP_ENG-4'!C5&lt;&gt;"",'PTP_ENG-4'!C5,"-")</f>
        <v>Tuanrit Sahapaet</v>
      </c>
      <c r="C9" s="139" t="str">
        <f>IF('PTP_ENG-4'!I5&lt;&gt;"",'PTP_ENG-4'!I5,"-")</f>
        <v>Engineer</v>
      </c>
      <c r="D9" s="139" t="str">
        <f>IF('PTP_ENG-4'!C7&lt;&gt;"",'PTP_ENG-4'!C7,"-")</f>
        <v xml:space="preserve">Software Engineer </v>
      </c>
      <c r="E9" s="139" t="str">
        <f>IF('PTP_ENG-4'!F7&lt;&gt;"",'PTP_ENG-4'!F7,"-")</f>
        <v xml:space="preserve">4 ปี 1 เดือน </v>
      </c>
      <c r="F9" s="139">
        <f>IF('PTP_ENG-4'!I7&lt;&gt;"",'PTP_ENG-4'!I7,"-")</f>
        <v>1</v>
      </c>
      <c r="G9" s="139" t="str">
        <f>IF('PTP_ENG-4'!C9&lt;&gt;"",'PTP_ENG-4'!C9,"-")</f>
        <v>Senior</v>
      </c>
      <c r="H9" s="220">
        <f>IF('PTP_ENG-4'!F27&lt;&gt;"",'PTP_ENG-4'!F27,"-")</f>
        <v>1</v>
      </c>
      <c r="I9" s="220">
        <f>IF('PTP_ENG-4'!F28&lt;&gt;"",'PTP_ENG-4'!F28,"-")</f>
        <v>1</v>
      </c>
      <c r="J9" s="220">
        <f>IF('PTP_ENG-4'!F29&lt;&gt;"",'PTP_ENG-4'!F29,"-")</f>
        <v>1</v>
      </c>
      <c r="K9" s="220">
        <f>IF('PTP_ENG-4'!F30&lt;&gt;"",'PTP_ENG-4'!F30,"-")</f>
        <v>1</v>
      </c>
      <c r="L9" s="220">
        <f>IF('PTP_ENG-4'!F31&lt;&gt;"",'PTP_ENG-4'!F31,"-")</f>
        <v>1</v>
      </c>
      <c r="M9" s="220">
        <f>IF('PTP_ENG-4'!F32&lt;&gt;"",'PTP_ENG-4'!F32,"-")</f>
        <v>1</v>
      </c>
      <c r="N9" s="220">
        <f>IF('PTP_ENG-4'!F33&lt;&gt;"",'PTP_ENG-4'!F33,"-")</f>
        <v>1</v>
      </c>
      <c r="O9" s="220">
        <f>IF('PTP_ENG-4'!F34&lt;&gt;"",'PTP_ENG-4'!F34,"-")</f>
        <v>1</v>
      </c>
      <c r="P9" s="220">
        <f>IF('PTP_ENG-4'!F35&lt;&gt;"",'PTP_ENG-4'!F35,"-")</f>
        <v>1</v>
      </c>
      <c r="Q9" s="220">
        <f>IF('PTP_ENG-4'!F36&lt;&gt;"",'PTP_ENG-4'!F36,"-")</f>
        <v>1</v>
      </c>
      <c r="R9" s="220">
        <f>IF('PTP_ENG-4'!F37&lt;&gt;"",'PTP_ENG-4'!F37,"-")</f>
        <v>2</v>
      </c>
      <c r="S9" s="220">
        <f>IF('PTP_ENG-4'!F38&lt;&gt;"",'PTP_ENG-4'!F38,"-")</f>
        <v>3</v>
      </c>
      <c r="T9" s="220">
        <f>IF('PTP_ENG-4'!F39&lt;&gt;"",'PTP_ENG-4'!F39,"-")</f>
        <v>1</v>
      </c>
      <c r="U9" s="220">
        <f>IF('PTP_ENG-4'!F40&lt;&gt;"",'PTP_ENG-4'!F40,"-")</f>
        <v>1</v>
      </c>
      <c r="V9" s="220">
        <f>IF('PTP_ENG-4'!F41&lt;&gt;"",'PTP_ENG-4'!F41,"-")</f>
        <v>3</v>
      </c>
      <c r="W9" s="220">
        <f>IF('PTP_ENG-4'!F42&lt;&gt;"",'PTP_ENG-4'!F42,"-")</f>
        <v>1</v>
      </c>
      <c r="X9" s="220">
        <f>IF('PTP_ENG-4'!F43&lt;&gt;"",'PTP_ENG-4'!F43,"-")</f>
        <v>1</v>
      </c>
      <c r="Y9" s="220">
        <f>IF('PTP_ENG-4'!F44&lt;&gt;"",'PTP_ENG-4'!F44,"-")</f>
        <v>1</v>
      </c>
      <c r="Z9" s="220">
        <f>IF('PTP_ENG-4'!F45&lt;&gt;"",'PTP_ENG-4'!F45,"-")</f>
        <v>1</v>
      </c>
      <c r="AA9" s="220">
        <f>IF('PTP_ENG-4'!F46&lt;&gt;"",'PTP_ENG-4'!F46,"-")</f>
        <v>1</v>
      </c>
      <c r="AB9" s="220">
        <f>IF('PTP_ENG-4'!F41&lt;&gt;"",'PTP_ENG-4'!F47,"-")</f>
        <v>2</v>
      </c>
      <c r="AC9" s="220">
        <f>IF('PTP_ENG-4'!F42&lt;&gt;"",'PTP_ENG-4'!F48,"-")</f>
        <v>2</v>
      </c>
      <c r="AD9" s="220">
        <f>IF('PTP_ENG-4'!F43&lt;&gt;"",'PTP_ENG-4'!F49,"-")</f>
        <v>2</v>
      </c>
      <c r="AE9" s="220">
        <f>IF('PTP_ENG-4'!F44&lt;&gt;"",'PTP_ENG-4'!F50,"-")</f>
        <v>2</v>
      </c>
      <c r="AF9" s="220">
        <f>IF('PTP_ENG-4'!F45&lt;&gt;"",'PTP_ENG-4'!F51,"-")</f>
        <v>3</v>
      </c>
      <c r="AG9" s="220">
        <f>IF('PTP_ENG-4'!F46&lt;&gt;"",'PTP_ENG-4'!F52,"-")</f>
        <v>2</v>
      </c>
    </row>
    <row r="10" spans="1:33" s="78" customFormat="1" ht="24" customHeight="1" x14ac:dyDescent="0.35">
      <c r="A10" s="78">
        <v>7</v>
      </c>
      <c r="B10" s="170" t="str">
        <f>IF('PTP_ENG-7'!C5&lt;&gt;"",'PTP_ENG-7'!C5,"-")</f>
        <v>Pasit Nusso</v>
      </c>
      <c r="C10" s="139" t="str">
        <f>IF('PTP_ENG-7'!I5&lt;&gt;"",'PTP_ENG-7'!I5,"-")</f>
        <v>Engineer</v>
      </c>
      <c r="D10" s="139" t="str">
        <f>IF('PTP_ENG-7'!C7&lt;&gt;"",'PTP_ENG-7'!C7,"-")</f>
        <v>Project Manager</v>
      </c>
      <c r="E10" s="139">
        <f>IF('PTP_ENG-7'!F7&lt;&gt;"",'PTP_ENG-7'!F7,"-")</f>
        <v>8</v>
      </c>
      <c r="F10" s="139">
        <f>IF('PTP_ENG-7'!I7&lt;&gt;"",'PTP_ENG-7'!I7,"-")</f>
        <v>1</v>
      </c>
      <c r="G10" s="139" t="str">
        <f>IF('PTP_ENG-7'!C9&lt;&gt;"",'PTP_ENG-7'!C9,"-")</f>
        <v>Senior Staff Specialist</v>
      </c>
      <c r="H10" s="220">
        <f>IF('PTP_ENG-7'!F27&lt;&gt;"",'PTP_ENG-7'!F27,"-")</f>
        <v>4</v>
      </c>
      <c r="I10" s="220">
        <f>IF('PTP_ENG-7'!F28&lt;&gt;"",'PTP_ENG-7'!F28,"-")</f>
        <v>4</v>
      </c>
      <c r="J10" s="220">
        <f>IF('PTP_ENG-7'!F29&lt;&gt;"",'PTP_ENG-7'!F29,"-")</f>
        <v>4</v>
      </c>
      <c r="K10" s="220">
        <f>IF('PTP_ENG-7'!F30&lt;&gt;"",'PTP_ENG-7'!F30,"-")</f>
        <v>4</v>
      </c>
      <c r="L10" s="220">
        <f>IF('PTP_ENG-7'!F31&lt;&gt;"",'PTP_ENG-7'!F31,"-")</f>
        <v>1</v>
      </c>
      <c r="M10" s="220">
        <f>IF('PTP_ENG-7'!F32&lt;&gt;"",'PTP_ENG-7'!F32,"-")</f>
        <v>1</v>
      </c>
      <c r="N10" s="220">
        <f>IF('PTP_ENG-7'!F33&lt;&gt;"",'PTP_ENG-7'!F33,"-")</f>
        <v>1</v>
      </c>
      <c r="O10" s="220">
        <f>IF('PTP_ENG-7'!F34&lt;&gt;"",'PTP_ENG-7'!F34,"-")</f>
        <v>1</v>
      </c>
      <c r="P10" s="220">
        <f>IF('PTP_ENG-7'!F35&lt;&gt;"",'PTP_ENG-7'!F35,"-")</f>
        <v>1</v>
      </c>
      <c r="Q10" s="220">
        <f>IF('PTP_ENG-7'!F36&lt;&gt;"",'PTP_ENG-7'!F36,"-")</f>
        <v>1</v>
      </c>
      <c r="R10" s="220">
        <f>IF('PTP_ENG-7'!F37&lt;&gt;"",'PTP_ENG-7'!F37,"-")</f>
        <v>2</v>
      </c>
      <c r="S10" s="220">
        <f>IF('PTP_ENG-7'!F38&lt;&gt;"",'PTP_ENG-7'!F38,"-")</f>
        <v>4</v>
      </c>
      <c r="T10" s="220">
        <f>IF('PTP_ENG-7'!F39&lt;&gt;"",'PTP_ENG-7'!F39,"-")</f>
        <v>2</v>
      </c>
      <c r="U10" s="220">
        <f>IF('PTP_ENG-7'!F40&lt;&gt;"",'PTP_ENG-7'!F40,"-")</f>
        <v>2</v>
      </c>
      <c r="V10" s="220">
        <f>IF('PTP_ENG-7'!F41&lt;&gt;"",'PTP_ENG-7'!F41,"-")</f>
        <v>2</v>
      </c>
      <c r="W10" s="220">
        <f>IF('PTP_ENG-7'!F42&lt;&gt;"",'PTP_ENG-7'!F42,"-")</f>
        <v>4</v>
      </c>
      <c r="X10" s="220">
        <f>IF('PTP_ENG-7'!F43&lt;&gt;"",'PTP_ENG-7'!F43,"-")</f>
        <v>4</v>
      </c>
      <c r="Y10" s="220">
        <f>IF('PTP_ENG-7'!F44&lt;&gt;"",'PTP_ENG-7'!F44,"-")</f>
        <v>2</v>
      </c>
      <c r="Z10" s="220">
        <f>IF('PTP_ENG-7'!F45&lt;&gt;"",'PTP_ENG-7'!F45,"-")</f>
        <v>1</v>
      </c>
      <c r="AA10" s="220">
        <f>IF('PTP_ENG-7'!F46&lt;&gt;"",'PTP_ENG-7'!F46,"-")</f>
        <v>3</v>
      </c>
      <c r="AB10" s="220">
        <f>IF('PTP_ENG-7'!F41&lt;&gt;"",'PTP_ENG-7'!F47,"-")</f>
        <v>3</v>
      </c>
      <c r="AC10" s="220">
        <f>IF('PTP_ENG-7'!F42&lt;&gt;"",'PTP_ENG-7'!F48,"-")</f>
        <v>3</v>
      </c>
      <c r="AD10" s="220">
        <f>IF('PTP_ENG-7'!F43&lt;&gt;"",'PTP_ENG-7'!F49,"-")</f>
        <v>3</v>
      </c>
      <c r="AE10" s="220">
        <f>IF('PTP_ENG-7'!F44&lt;&gt;"",'PTP_ENG-7'!F50,"-")</f>
        <v>3</v>
      </c>
      <c r="AF10" s="220">
        <f>IF('PTP_ENG-7'!F45&lt;&gt;"",'PTP_ENG-7'!F51,"-")</f>
        <v>4</v>
      </c>
      <c r="AG10" s="220">
        <f>IF('PTP_ENG-7'!F46&lt;&gt;"",'PTP_ENG-7'!F52,"-")</f>
        <v>3</v>
      </c>
    </row>
    <row r="11" spans="1:33" s="78" customFormat="1" ht="24" customHeight="1" x14ac:dyDescent="0.35">
      <c r="A11" s="79">
        <v>10</v>
      </c>
      <c r="B11" s="170" t="str">
        <f>IF('PTP_ENG-10'!C5&lt;&gt;"",'PTP_ENG-10'!C5,"-")</f>
        <v>Chatuporn Kleebkaew</v>
      </c>
      <c r="C11" s="139" t="str">
        <f>IF('PTP_ENG-10'!I5&lt;&gt;"",'PTP_ENG-10'!I5,"-")</f>
        <v>Engineer</v>
      </c>
      <c r="D11" s="139" t="str">
        <f>IF('PTP_ENG-10'!C7&lt;&gt;"",'PTP_ENG-10'!C7,"-")</f>
        <v>Software Engineer</v>
      </c>
      <c r="E11" s="139" t="str">
        <f>IF('PTP_ENG-10'!F7&lt;&gt;"",'PTP_ENG-10'!F7,"-")</f>
        <v>2 ปี 8 เดือน</v>
      </c>
      <c r="F11" s="139">
        <f>IF('PTP_ENG-10'!I7&lt;&gt;"",'PTP_ENG-10'!I7,"-")</f>
        <v>1</v>
      </c>
      <c r="G11" s="139" t="str">
        <f>IF('PTP_ENG-10'!C9&lt;&gt;"",'PTP_ENG-10'!C9,"-")</f>
        <v>Intermediate</v>
      </c>
      <c r="H11" s="220">
        <f>IF('PTP_ENG-10'!F27&lt;&gt;"",'PTP_ENG-10'!F27,"-")</f>
        <v>1</v>
      </c>
      <c r="I11" s="220">
        <f>IF('PTP_ENG-10'!F28&lt;&gt;"",'PTP_ENG-10'!F28,"-")</f>
        <v>1</v>
      </c>
      <c r="J11" s="220">
        <f>IF('PTP_ENG-10'!F29&lt;&gt;"",'PTP_ENG-10'!F29,"-")</f>
        <v>1</v>
      </c>
      <c r="K11" s="220">
        <f>IF('PTP_ENG-10'!F30&lt;&gt;"",'PTP_ENG-10'!F30,"-")</f>
        <v>1</v>
      </c>
      <c r="L11" s="220">
        <f>IF('PTP_ENG-10'!F31&lt;&gt;"",'PTP_ENG-10'!F31,"-")</f>
        <v>1</v>
      </c>
      <c r="M11" s="220">
        <f>IF('PTP_ENG-10'!F32&lt;&gt;"",'PTP_ENG-10'!F32,"-")</f>
        <v>1</v>
      </c>
      <c r="N11" s="220">
        <f>IF('PTP_ENG-10'!F33&lt;&gt;"",'PTP_ENG-10'!F33,"-")</f>
        <v>1</v>
      </c>
      <c r="O11" s="220">
        <f>IF('PTP_ENG-10'!F34&lt;&gt;"",'PTP_ENG-10'!F34,"-")</f>
        <v>1</v>
      </c>
      <c r="P11" s="220">
        <f>IF('PTP_ENG-10'!F35&lt;&gt;"",'PTP_ENG-10'!F35,"-")</f>
        <v>4</v>
      </c>
      <c r="Q11" s="220">
        <f>IF('PTP_ENG-10'!F36&lt;&gt;"",'PTP_ENG-10'!F36,"-")</f>
        <v>3</v>
      </c>
      <c r="R11" s="220">
        <f>IF('PTP_ENG-10'!F37&lt;&gt;"",'PTP_ENG-10'!F37,"-")</f>
        <v>4</v>
      </c>
      <c r="S11" s="220">
        <f>IF('PTP_ENG-10'!F38&lt;&gt;"",'PTP_ENG-10'!F38,"-")</f>
        <v>3</v>
      </c>
      <c r="T11" s="220">
        <f>IF('PTP_ENG-10'!F39&lt;&gt;"",'PTP_ENG-10'!F39,"-")</f>
        <v>1</v>
      </c>
      <c r="U11" s="220">
        <f>IF('PTP_ENG-10'!F40&lt;&gt;"",'PTP_ENG-10'!F40,"-")</f>
        <v>1</v>
      </c>
      <c r="V11" s="220">
        <f>IF('PTP_ENG-10'!F41&lt;&gt;"",'PTP_ENG-10'!F41,"-")</f>
        <v>2</v>
      </c>
      <c r="W11" s="220">
        <f>IF('PTP_ENG-10'!F42&lt;&gt;"",'PTP_ENG-10'!F42,"-")</f>
        <v>1</v>
      </c>
      <c r="X11" s="220">
        <f>IF('PTP_ENG-10'!F43&lt;&gt;"",'PTP_ENG-10'!F43,"-")</f>
        <v>1</v>
      </c>
      <c r="Y11" s="220">
        <f>IF('PTP_ENG-10'!F44&lt;&gt;"",'PTP_ENG-10'!F44,"-")</f>
        <v>1</v>
      </c>
      <c r="Z11" s="220">
        <f>IF('PTP_ENG-10'!F45&lt;&gt;"",'PTP_ENG-10'!F45,"-")</f>
        <v>1</v>
      </c>
      <c r="AA11" s="220">
        <f>IF('PTP_ENG-10'!F46&lt;&gt;"",'PTP_ENG-10'!F46,"-")</f>
        <v>1</v>
      </c>
      <c r="AB11" s="220">
        <f>IF('PTP_ENG-10'!F41&lt;&gt;"",'PTP_ENG-10'!F47,"-")</f>
        <v>1</v>
      </c>
      <c r="AC11" s="220">
        <f>IF('PTP_ENG-10'!F42&lt;&gt;"",'PTP_ENG-10'!F48,"-")</f>
        <v>1</v>
      </c>
      <c r="AD11" s="220">
        <f>IF('PTP_ENG-10'!F43&lt;&gt;"",'PTP_ENG-10'!F49,"-")</f>
        <v>2</v>
      </c>
      <c r="AE11" s="220">
        <f>IF('PTP_ENG-10'!F44&lt;&gt;"",'PTP_ENG-10'!F50,"-")</f>
        <v>2</v>
      </c>
      <c r="AF11" s="220">
        <f>IF('PTP_ENG-10'!F45&lt;&gt;"",'PTP_ENG-10'!F51,"-")</f>
        <v>3</v>
      </c>
      <c r="AG11" s="220">
        <f>IF('PTP_ENG-10'!F46&lt;&gt;"",'PTP_ENG-10'!F52,"-")</f>
        <v>1</v>
      </c>
    </row>
    <row r="12" spans="1:33" s="78" customFormat="1" ht="24" customHeight="1" x14ac:dyDescent="0.35">
      <c r="A12" s="78">
        <v>12</v>
      </c>
      <c r="B12" s="170" t="str">
        <f>IF('PTP_ENG-12'!C5&lt;&gt;"",'PTP_ENG-12'!C5,"-")</f>
        <v>Pathompong Kongprajug</v>
      </c>
      <c r="C12" s="139" t="str">
        <f>IF('PTP_ENG-12'!I5&lt;&gt;"",'PTP_ENG-12'!I5,"-")</f>
        <v>Engineer</v>
      </c>
      <c r="D12" s="139" t="str">
        <f>IF('PTP_ENG-12'!C7&lt;&gt;"",'PTP_ENG-12'!C7,"-")</f>
        <v>Engineer</v>
      </c>
      <c r="E12" s="139" t="str">
        <f>IF('PTP_ENG-12'!F7&lt;&gt;"",'PTP_ENG-12'!F7,"-")</f>
        <v>Python 2, PHP 3</v>
      </c>
      <c r="F12" s="139">
        <f>IF('PTP_ENG-12'!I7&lt;&gt;"",'PTP_ENG-12'!I7,"-")</f>
        <v>1</v>
      </c>
      <c r="G12" s="139" t="str">
        <f>IF('PTP_ENG-12'!C9&lt;&gt;"",'PTP_ENG-12'!C9,"-")</f>
        <v>Senior</v>
      </c>
      <c r="H12" s="220">
        <f>IF('PTP_ENG-12'!F27&lt;&gt;"",'PTP_ENG-12'!F27,"-")</f>
        <v>1</v>
      </c>
      <c r="I12" s="220">
        <f>IF('PTP_ENG-12'!F28&lt;&gt;"",'PTP_ENG-12'!F28,"-")</f>
        <v>1</v>
      </c>
      <c r="J12" s="220">
        <f>IF('PTP_ENG-12'!F29&lt;&gt;"",'PTP_ENG-12'!F29,"-")</f>
        <v>1</v>
      </c>
      <c r="K12" s="220">
        <f>IF('PTP_ENG-12'!F30&lt;&gt;"",'PTP_ENG-12'!F30,"-")</f>
        <v>1</v>
      </c>
      <c r="L12" s="220">
        <f>IF('PTP_ENG-12'!F31&lt;&gt;"",'PTP_ENG-12'!F31,"-")</f>
        <v>1</v>
      </c>
      <c r="M12" s="220">
        <f>IF('PTP_ENG-12'!F32&lt;&gt;"",'PTP_ENG-12'!F32,"-")</f>
        <v>1</v>
      </c>
      <c r="N12" s="220">
        <f>IF('PTP_ENG-12'!F33&lt;&gt;"",'PTP_ENG-12'!F33,"-")</f>
        <v>1</v>
      </c>
      <c r="O12" s="220">
        <f>IF('PTP_ENG-12'!F34&lt;&gt;"",'PTP_ENG-12'!F34,"-")</f>
        <v>2</v>
      </c>
      <c r="P12" s="220">
        <f>IF('PTP_ENG-12'!F35&lt;&gt;"",'PTP_ENG-12'!F35,"-")</f>
        <v>1</v>
      </c>
      <c r="Q12" s="220">
        <f>IF('PTP_ENG-12'!F36&lt;&gt;"",'PTP_ENG-12'!F36,"-")</f>
        <v>1</v>
      </c>
      <c r="R12" s="220">
        <f>IF('PTP_ENG-12'!F37&lt;&gt;"",'PTP_ENG-12'!F37,"-")</f>
        <v>2</v>
      </c>
      <c r="S12" s="220">
        <f>IF('PTP_ENG-12'!F38&lt;&gt;"",'PTP_ENG-12'!F38,"-")</f>
        <v>2</v>
      </c>
      <c r="T12" s="220">
        <f>IF('PTP_ENG-12'!F39&lt;&gt;"",'PTP_ENG-12'!F39,"-")</f>
        <v>1</v>
      </c>
      <c r="U12" s="220">
        <f>IF('PTP_ENG-12'!F40&lt;&gt;"",'PTP_ENG-12'!F40,"-")</f>
        <v>1</v>
      </c>
      <c r="V12" s="220">
        <f>IF('PTP_ENG-12'!F41&lt;&gt;"",'PTP_ENG-12'!F41,"-")</f>
        <v>2</v>
      </c>
      <c r="W12" s="220">
        <f>IF('PTP_ENG-12'!F42&lt;&gt;"",'PTP_ENG-12'!F42,"-")</f>
        <v>3</v>
      </c>
      <c r="X12" s="220">
        <f>IF('PTP_ENG-12'!F43&lt;&gt;"",'PTP_ENG-12'!F43,"-")</f>
        <v>3</v>
      </c>
      <c r="Y12" s="220">
        <f>IF('PTP_ENG-12'!F44&lt;&gt;"",'PTP_ENG-12'!F44,"-")</f>
        <v>1</v>
      </c>
      <c r="Z12" s="220">
        <f>IF('PTP_ENG-12'!F45&lt;&gt;"",'PTP_ENG-12'!F45,"-")</f>
        <v>1</v>
      </c>
      <c r="AA12" s="220">
        <f>IF('PTP_ENG-12'!F46&lt;&gt;"",'PTP_ENG-12'!F46,"-")</f>
        <v>1</v>
      </c>
      <c r="AB12" s="220">
        <f>IF('PTP_ENG-12'!F41&lt;&gt;"",'PTP_ENG-12'!F47,"-")</f>
        <v>1</v>
      </c>
      <c r="AC12" s="220">
        <f>IF('PTP_ENG-12'!F42&lt;&gt;"",'PTP_ENG-12'!F48,"-")</f>
        <v>1</v>
      </c>
      <c r="AD12" s="220">
        <f>IF('PTP_ENG-12'!F43&lt;&gt;"",'PTP_ENG-12'!F49,"-")</f>
        <v>1</v>
      </c>
      <c r="AE12" s="220">
        <f>IF('PTP_ENG-12'!F44&lt;&gt;"",'PTP_ENG-12'!F50,"-")</f>
        <v>2</v>
      </c>
      <c r="AF12" s="220">
        <f>IF('PTP_ENG-12'!F45&lt;&gt;"",'PTP_ENG-12'!F51,"-")</f>
        <v>1</v>
      </c>
      <c r="AG12" s="220">
        <f>IF('PTP_ENG-12'!F46&lt;&gt;"",'PTP_ENG-12'!F52,"-")</f>
        <v>1</v>
      </c>
    </row>
    <row r="13" spans="1:33" s="78" customFormat="1" ht="24" customHeight="1" x14ac:dyDescent="0.35">
      <c r="A13" s="79">
        <v>6</v>
      </c>
      <c r="B13" s="170" t="str">
        <f>IF('PTP_ENG-6'!C5&lt;&gt;"",'PTP_ENG-6'!C5,"-")</f>
        <v>Ekachai Limpisoot</v>
      </c>
      <c r="C13" s="139" t="str">
        <f>IF('PTP_ENG-6'!I5&lt;&gt;"",'PTP_ENG-6'!I5,"-")</f>
        <v>Engineer</v>
      </c>
      <c r="D13" s="139" t="str">
        <f>IF('PTP_ENG-6'!C7&lt;&gt;"",'PTP_ENG-6'!C7,"-")</f>
        <v>Mobile Developer</v>
      </c>
      <c r="E13" s="139">
        <f>IF('PTP_ENG-6'!F7&lt;&gt;"",'PTP_ENG-6'!F7,"-")</f>
        <v>5</v>
      </c>
      <c r="F13" s="139">
        <f>IF('PTP_ENG-6'!I7&lt;&gt;"",'PTP_ENG-6'!I7,"-")</f>
        <v>1</v>
      </c>
      <c r="G13" s="139" t="str">
        <f>IF('PTP_ENG-6'!C9&lt;&gt;"",'PTP_ENG-6'!C9,"-")</f>
        <v>Senior</v>
      </c>
      <c r="H13" s="220">
        <f>IF('PTP_ENG-6'!F27&lt;&gt;"",'PTP_ENG-6'!F27,"-")</f>
        <v>4</v>
      </c>
      <c r="I13" s="220">
        <f>IF('PTP_ENG-6'!F28&lt;&gt;"",'PTP_ENG-6'!F28,"-")</f>
        <v>4</v>
      </c>
      <c r="J13" s="220">
        <f>IF('PTP_ENG-6'!F29&lt;&gt;"",'PTP_ENG-6'!F29,"-")</f>
        <v>3</v>
      </c>
      <c r="K13" s="220">
        <f>IF('PTP_ENG-6'!F30&lt;&gt;"",'PTP_ENG-6'!F30,"-")</f>
        <v>4</v>
      </c>
      <c r="L13" s="220">
        <f>IF('PTP_ENG-6'!F31&lt;&gt;"",'PTP_ENG-6'!F31,"-")</f>
        <v>2</v>
      </c>
      <c r="M13" s="220">
        <f>IF('PTP_ENG-6'!F32&lt;&gt;"",'PTP_ENG-6'!F32,"-")</f>
        <v>1</v>
      </c>
      <c r="N13" s="220">
        <f>IF('PTP_ENG-6'!F33&lt;&gt;"",'PTP_ENG-6'!F33,"-")</f>
        <v>2</v>
      </c>
      <c r="O13" s="220">
        <f>IF('PTP_ENG-6'!F34&lt;&gt;"",'PTP_ENG-6'!F34,"-")</f>
        <v>1</v>
      </c>
      <c r="P13" s="220">
        <f>IF('PTP_ENG-6'!F35&lt;&gt;"",'PTP_ENG-6'!F35,"-")</f>
        <v>1</v>
      </c>
      <c r="Q13" s="220">
        <f>IF('PTP_ENG-6'!F36&lt;&gt;"",'PTP_ENG-6'!F36,"-")</f>
        <v>1</v>
      </c>
      <c r="R13" s="220">
        <f>IF('PTP_ENG-6'!F37&lt;&gt;"",'PTP_ENG-6'!F37,"-")</f>
        <v>1</v>
      </c>
      <c r="S13" s="220">
        <f>IF('PTP_ENG-6'!F38&lt;&gt;"",'PTP_ENG-6'!F38,"-")</f>
        <v>2</v>
      </c>
      <c r="T13" s="220">
        <f>IF('PTP_ENG-6'!F39&lt;&gt;"",'PTP_ENG-6'!F39,"-")</f>
        <v>1</v>
      </c>
      <c r="U13" s="220">
        <f>IF('PTP_ENG-6'!F40&lt;&gt;"",'PTP_ENG-6'!F40,"-")</f>
        <v>1</v>
      </c>
      <c r="V13" s="220">
        <f>IF('PTP_ENG-6'!F41&lt;&gt;"",'PTP_ENG-6'!F41,"-")</f>
        <v>2</v>
      </c>
      <c r="W13" s="220">
        <f>IF('PTP_ENG-6'!F42&lt;&gt;"",'PTP_ENG-6'!F42,"-")</f>
        <v>1</v>
      </c>
      <c r="X13" s="220">
        <f>IF('PTP_ENG-6'!F43&lt;&gt;"",'PTP_ENG-6'!F43,"-")</f>
        <v>1</v>
      </c>
      <c r="Y13" s="220">
        <f>IF('PTP_ENG-6'!F44&lt;&gt;"",'PTP_ENG-6'!F44,"-")</f>
        <v>1</v>
      </c>
      <c r="Z13" s="220">
        <f>IF('PTP_ENG-6'!F45&lt;&gt;"",'PTP_ENG-6'!F45,"-")</f>
        <v>2</v>
      </c>
      <c r="AA13" s="220">
        <f>IF('PTP_ENG-6'!F46&lt;&gt;"",'PTP_ENG-6'!F46,"-")</f>
        <v>2</v>
      </c>
      <c r="AB13" s="220">
        <f>IF('PTP_ENG-6'!F41&lt;&gt;"",'PTP_ENG-6'!F47,"-")</f>
        <v>1</v>
      </c>
      <c r="AC13" s="220">
        <f>IF('PTP_ENG-6'!F42&lt;&gt;"",'PTP_ENG-6'!F48,"-")</f>
        <v>3</v>
      </c>
      <c r="AD13" s="220">
        <f>IF('PTP_ENG-6'!F43&lt;&gt;"",'PTP_ENG-6'!F49,"-")</f>
        <v>1</v>
      </c>
      <c r="AE13" s="220">
        <f>IF('PTP_ENG-6'!F44&lt;&gt;"",'PTP_ENG-6'!F50,"-")</f>
        <v>3</v>
      </c>
      <c r="AF13" s="220">
        <f>IF('PTP_ENG-6'!F45&lt;&gt;"",'PTP_ENG-6'!F51,"-")</f>
        <v>3</v>
      </c>
      <c r="AG13" s="220">
        <f>IF('PTP_ENG-6'!F46&lt;&gt;"",'PTP_ENG-6'!F52,"-")</f>
        <v>3</v>
      </c>
    </row>
    <row r="14" spans="1:33" s="78" customFormat="1" ht="24" customHeight="1" x14ac:dyDescent="0.35">
      <c r="A14" s="78">
        <v>16</v>
      </c>
      <c r="B14" s="170" t="str">
        <f>IF('PTP_ENG-16'!C5&lt;&gt;"",'PTP_ENG-16'!C5,"-")</f>
        <v>Woranop Phongnopkun</v>
      </c>
      <c r="C14" s="139" t="str">
        <f>IF('PTP_ENG-16'!I5&lt;&gt;"",'PTP_ENG-16'!I5,"-")</f>
        <v>Engineer</v>
      </c>
      <c r="D14" s="139" t="str">
        <f>IF('PTP_ENG-16'!C7&lt;&gt;"",'PTP_ENG-16'!C7,"-")</f>
        <v>Web Engineer</v>
      </c>
      <c r="E14" s="139">
        <f>IF('PTP_ENG-16'!F7&lt;&gt;"",'PTP_ENG-16'!F7,"-")</f>
        <v>1</v>
      </c>
      <c r="F14" s="139">
        <f>IF('PTP_ENG-16'!I7&lt;&gt;"",'PTP_ENG-16'!I7,"-")</f>
        <v>1</v>
      </c>
      <c r="G14" s="139" t="str">
        <f>IF('PTP_ENG-16'!C9&lt;&gt;"",'PTP_ENG-16'!C9,"-")</f>
        <v>Intermediate</v>
      </c>
      <c r="H14" s="220">
        <f>IF('PTP_ENG-16'!F27&lt;&gt;"",'PTP_ENG-16'!F27,"-")</f>
        <v>1</v>
      </c>
      <c r="I14" s="220">
        <f>IF('PTP_ENG-16'!F28&lt;&gt;"",'PTP_ENG-16'!F28,"-")</f>
        <v>1</v>
      </c>
      <c r="J14" s="220">
        <f>IF('PTP_ENG-16'!F29&lt;&gt;"",'PTP_ENG-16'!F29,"-")</f>
        <v>1</v>
      </c>
      <c r="K14" s="220">
        <f>IF('PTP_ENG-16'!F30&lt;&gt;"",'PTP_ENG-16'!F30,"-")</f>
        <v>1</v>
      </c>
      <c r="L14" s="220">
        <f>IF('PTP_ENG-16'!F31&lt;&gt;"",'PTP_ENG-16'!F31,"-")</f>
        <v>1</v>
      </c>
      <c r="M14" s="220">
        <f>IF('PTP_ENG-16'!F32&lt;&gt;"",'PTP_ENG-16'!F32,"-")</f>
        <v>1</v>
      </c>
      <c r="N14" s="220">
        <f>IF('PTP_ENG-16'!F33&lt;&gt;"",'PTP_ENG-16'!F33,"-")</f>
        <v>1</v>
      </c>
      <c r="O14" s="220">
        <f>IF('PTP_ENG-16'!F34&lt;&gt;"",'PTP_ENG-16'!F34,"-")</f>
        <v>1</v>
      </c>
      <c r="P14" s="220">
        <f>IF('PTP_ENG-16'!F35&lt;&gt;"",'PTP_ENG-16'!F35,"-")</f>
        <v>1</v>
      </c>
      <c r="Q14" s="220">
        <f>IF('PTP_ENG-16'!F36&lt;&gt;"",'PTP_ENG-16'!F36,"-")</f>
        <v>1</v>
      </c>
      <c r="R14" s="220">
        <f>IF('PTP_ENG-16'!F37&lt;&gt;"",'PTP_ENG-16'!F37,"-")</f>
        <v>2</v>
      </c>
      <c r="S14" s="220">
        <f>IF('PTP_ENG-16'!F38&lt;&gt;"",'PTP_ENG-16'!F38,"-")</f>
        <v>2</v>
      </c>
      <c r="T14" s="220">
        <f>IF('PTP_ENG-16'!F39&lt;&gt;"",'PTP_ENG-16'!F39,"-")</f>
        <v>1</v>
      </c>
      <c r="U14" s="220">
        <f>IF('PTP_ENG-16'!F40&lt;&gt;"",'PTP_ENG-16'!F40,"-")</f>
        <v>1</v>
      </c>
      <c r="V14" s="220">
        <f>IF('PTP_ENG-16'!F41&lt;&gt;"",'PTP_ENG-16'!F41,"-")</f>
        <v>2</v>
      </c>
      <c r="W14" s="220">
        <f>IF('PTP_ENG-16'!F42&lt;&gt;"",'PTP_ENG-16'!F42,"-")</f>
        <v>1</v>
      </c>
      <c r="X14" s="220">
        <f>IF('PTP_ENG-16'!F43&lt;&gt;"",'PTP_ENG-16'!F43,"-")</f>
        <v>1</v>
      </c>
      <c r="Y14" s="220">
        <f>IF('PTP_ENG-16'!F44&lt;&gt;"",'PTP_ENG-16'!F44,"-")</f>
        <v>1</v>
      </c>
      <c r="Z14" s="220">
        <f>IF('PTP_ENG-16'!F45&lt;&gt;"",'PTP_ENG-16'!F45,"-")</f>
        <v>1</v>
      </c>
      <c r="AA14" s="220">
        <f>IF('PTP_ENG-16'!F46&lt;&gt;"",'PTP_ENG-16'!F46,"-")</f>
        <v>1</v>
      </c>
      <c r="AB14" s="220">
        <f>IF('PTP_ENG-16'!F41&lt;&gt;"",'PTP_ENG-16'!F47,"-")</f>
        <v>1</v>
      </c>
      <c r="AC14" s="220">
        <f>IF('PTP_ENG-16'!F42&lt;&gt;"",'PTP_ENG-16'!F48,"-")</f>
        <v>1</v>
      </c>
      <c r="AD14" s="220">
        <f>IF('PTP_ENG-16'!F43&lt;&gt;"",'PTP_ENG-16'!F49,"-")</f>
        <v>1</v>
      </c>
      <c r="AE14" s="220">
        <f>IF('PTP_ENG-16'!F44&lt;&gt;"",'PTP_ENG-16'!F50,"-")</f>
        <v>1</v>
      </c>
      <c r="AF14" s="220">
        <f>IF('PTP_ENG-16'!F45&lt;&gt;"",'PTP_ENG-16'!F51,"-")</f>
        <v>1</v>
      </c>
      <c r="AG14" s="220">
        <f>IF('PTP_ENG-16'!F46&lt;&gt;"",'PTP_ENG-16'!F52,"-")</f>
        <v>1</v>
      </c>
    </row>
    <row r="15" spans="1:33" s="78" customFormat="1" ht="24" customHeight="1" x14ac:dyDescent="0.35">
      <c r="A15" s="78">
        <v>19</v>
      </c>
      <c r="B15" s="170" t="str">
        <f>IF('PTP_ENG-19'!C5&lt;&gt;"",'PTP_ENG-19'!C5,"-")</f>
        <v>Apinya Tangtermphol</v>
      </c>
      <c r="C15" s="139" t="str">
        <f>IF('PTP_ENG-19'!I5&lt;&gt;"",'PTP_ENG-19'!I5,"-")</f>
        <v>Engineer</v>
      </c>
      <c r="D15" s="139" t="str">
        <f>IF('PTP_ENG-19'!C7&lt;&gt;"",'PTP_ENG-19'!C7,"-")</f>
        <v>Engineer</v>
      </c>
      <c r="E15" s="139">
        <f>IF('PTP_ENG-19'!F7&lt;&gt;"",'PTP_ENG-19'!F7,"-")</f>
        <v>1</v>
      </c>
      <c r="F15" s="139">
        <f>IF('PTP_ENG-19'!I7&lt;&gt;"",'PTP_ENG-19'!I7,"-")</f>
        <v>1</v>
      </c>
      <c r="G15" s="139" t="str">
        <f>IF('PTP_ENG-19'!C9&lt;&gt;"",'PTP_ENG-19'!C9,"-")</f>
        <v>Intermediate</v>
      </c>
      <c r="H15" s="220">
        <f>IF('PTP_ENG-19'!F27&lt;&gt;"",'PTP_ENG-19'!F27,"-")</f>
        <v>1</v>
      </c>
      <c r="I15" s="220">
        <f>IF('PTP_ENG-19'!F28&lt;&gt;"",'PTP_ENG-19'!F28,"-")</f>
        <v>1</v>
      </c>
      <c r="J15" s="220">
        <f>IF('PTP_ENG-19'!F29&lt;&gt;"",'PTP_ENG-19'!F29,"-")</f>
        <v>1</v>
      </c>
      <c r="K15" s="220">
        <f>IF('PTP_ENG-19'!F30&lt;&gt;"",'PTP_ENG-19'!F30,"-")</f>
        <v>1</v>
      </c>
      <c r="L15" s="220">
        <f>IF('PTP_ENG-19'!F31&lt;&gt;"",'PTP_ENG-19'!F31,"-")</f>
        <v>1</v>
      </c>
      <c r="M15" s="220">
        <f>IF('PTP_ENG-19'!F32&lt;&gt;"",'PTP_ENG-19'!F32,"-")</f>
        <v>1</v>
      </c>
      <c r="N15" s="220">
        <f>IF('PTP_ENG-19'!F33&lt;&gt;"",'PTP_ENG-19'!F33,"-")</f>
        <v>1</v>
      </c>
      <c r="O15" s="220">
        <f>IF('PTP_ENG-19'!F34&lt;&gt;"",'PTP_ENG-19'!F34,"-")</f>
        <v>1</v>
      </c>
      <c r="P15" s="220">
        <f>IF('PTP_ENG-19'!F35&lt;&gt;"",'PTP_ENG-19'!F35,"-")</f>
        <v>1</v>
      </c>
      <c r="Q15" s="220">
        <f>IF('PTP_ENG-19'!F36&lt;&gt;"",'PTP_ENG-19'!F36,"-")</f>
        <v>1</v>
      </c>
      <c r="R15" s="220">
        <f>IF('PTP_ENG-19'!F37&lt;&gt;"",'PTP_ENG-19'!F37,"-")</f>
        <v>2</v>
      </c>
      <c r="S15" s="220">
        <f>IF('PTP_ENG-19'!F38&lt;&gt;"",'PTP_ENG-19'!F38,"-")</f>
        <v>2</v>
      </c>
      <c r="T15" s="220">
        <f>IF('PTP_ENG-19'!F39&lt;&gt;"",'PTP_ENG-19'!F39,"-")</f>
        <v>1</v>
      </c>
      <c r="U15" s="220">
        <f>IF('PTP_ENG-19'!F40&lt;&gt;"",'PTP_ENG-19'!F40,"-")</f>
        <v>1</v>
      </c>
      <c r="V15" s="220">
        <f>IF('PTP_ENG-19'!F41&lt;&gt;"",'PTP_ENG-19'!F41,"-")</f>
        <v>2</v>
      </c>
      <c r="W15" s="220">
        <f>IF('PTP_ENG-19'!F42&lt;&gt;"",'PTP_ENG-19'!F42,"-")</f>
        <v>1</v>
      </c>
      <c r="X15" s="220">
        <f>IF('PTP_ENG-19'!F43&lt;&gt;"",'PTP_ENG-19'!F43,"-")</f>
        <v>1</v>
      </c>
      <c r="Y15" s="220">
        <f>IF('PTP_ENG-19'!F44&lt;&gt;"",'PTP_ENG-19'!F44,"-")</f>
        <v>1</v>
      </c>
      <c r="Z15" s="220">
        <f>IF('PTP_ENG-19'!F45&lt;&gt;"",'PTP_ENG-19'!F45,"-")</f>
        <v>1</v>
      </c>
      <c r="AA15" s="220">
        <f>IF('PTP_ENG-19'!F46&lt;&gt;"",'PTP_ENG-19'!F46,"-")</f>
        <v>1</v>
      </c>
      <c r="AB15" s="220">
        <f>IF('PTP_ENG-19'!F41&lt;&gt;"",'PTP_ENG-19'!F47,"-")</f>
        <v>1</v>
      </c>
      <c r="AC15" s="220">
        <f>IF('PTP_ENG-19'!F42&lt;&gt;"",'PTP_ENG-19'!F48,"-")</f>
        <v>1</v>
      </c>
      <c r="AD15" s="220">
        <f>IF('PTP_ENG-19'!F43&lt;&gt;"",'PTP_ENG-19'!F49,"-")</f>
        <v>1</v>
      </c>
      <c r="AE15" s="220">
        <f>IF('PTP_ENG-19'!F44&lt;&gt;"",'PTP_ENG-19'!F50,"-")</f>
        <v>2</v>
      </c>
      <c r="AF15" s="220">
        <f>IF('PTP_ENG-19'!F45&lt;&gt;"",'PTP_ENG-19'!F51,"-")</f>
        <v>1</v>
      </c>
      <c r="AG15" s="220">
        <f>IF('PTP_ENG-19'!F46&lt;&gt;"",'PTP_ENG-19'!F52,"-")</f>
        <v>1</v>
      </c>
    </row>
    <row r="16" spans="1:33" s="78" customFormat="1" ht="24" customHeight="1" x14ac:dyDescent="0.35">
      <c r="A16" s="78">
        <v>21</v>
      </c>
      <c r="B16" s="170" t="str">
        <f>IF('PTP_ENG-21'!C5&lt;&gt;"",'PTP_ENG-21'!C5,"-")</f>
        <v>Rattaporn Thongmeesuk</v>
      </c>
      <c r="C16" s="139" t="str">
        <f>IF('PTP_ENG-21'!I5&lt;&gt;"",'PTP_ENG-21'!I5,"-")</f>
        <v>Engineer</v>
      </c>
      <c r="D16" s="139" t="str">
        <f>IF('PTP_ENG-21'!C7&lt;&gt;"",'PTP_ENG-21'!C7,"-")</f>
        <v>Web developer</v>
      </c>
      <c r="E16" s="139">
        <f>IF('PTP_ENG-21'!F7&lt;&gt;"",'PTP_ENG-21'!F7,"-")</f>
        <v>1</v>
      </c>
      <c r="F16" s="139">
        <f>IF('PTP_ENG-21'!I7&lt;&gt;"",'PTP_ENG-21'!I7,"-")</f>
        <v>1</v>
      </c>
      <c r="G16" s="139" t="str">
        <f>IF('PTP_ENG-21'!C9&lt;&gt;"",'PTP_ENG-21'!C9,"-")</f>
        <v>Intermediate</v>
      </c>
      <c r="H16" s="220">
        <f>IF('PTP_ENG-21'!F27&lt;&gt;"",'PTP_ENG-21'!F27,"-")</f>
        <v>1</v>
      </c>
      <c r="I16" s="220">
        <f>IF('PTP_ENG-21'!F28&lt;&gt;"",'PTP_ENG-21'!F28,"-")</f>
        <v>1</v>
      </c>
      <c r="J16" s="220">
        <f>IF('PTP_ENG-21'!F29&lt;&gt;"",'PTP_ENG-21'!F29,"-")</f>
        <v>1</v>
      </c>
      <c r="K16" s="220">
        <f>IF('PTP_ENG-21'!F30&lt;&gt;"",'PTP_ENG-21'!F30,"-")</f>
        <v>1</v>
      </c>
      <c r="L16" s="220">
        <f>IF('PTP_ENG-21'!F31&lt;&gt;"",'PTP_ENG-21'!F31,"-")</f>
        <v>1</v>
      </c>
      <c r="M16" s="220">
        <f>IF('PTP_ENG-21'!F32&lt;&gt;"",'PTP_ENG-21'!F32,"-")</f>
        <v>1</v>
      </c>
      <c r="N16" s="220">
        <f>IF('PTP_ENG-21'!F33&lt;&gt;"",'PTP_ENG-21'!F33,"-")</f>
        <v>1</v>
      </c>
      <c r="O16" s="220">
        <f>IF('PTP_ENG-21'!F34&lt;&gt;"",'PTP_ENG-21'!F34,"-")</f>
        <v>1</v>
      </c>
      <c r="P16" s="220">
        <f>IF('PTP_ENG-21'!F35&lt;&gt;"",'PTP_ENG-21'!F35,"-")</f>
        <v>1</v>
      </c>
      <c r="Q16" s="220">
        <f>IF('PTP_ENG-21'!F36&lt;&gt;"",'PTP_ENG-21'!F36,"-")</f>
        <v>1</v>
      </c>
      <c r="R16" s="220">
        <f>IF('PTP_ENG-21'!F37&lt;&gt;"",'PTP_ENG-21'!F37,"-")</f>
        <v>2</v>
      </c>
      <c r="S16" s="220">
        <f>IF('PTP_ENG-21'!F38&lt;&gt;"",'PTP_ENG-21'!F38,"-")</f>
        <v>2</v>
      </c>
      <c r="T16" s="220">
        <f>IF('PTP_ENG-21'!F39&lt;&gt;"",'PTP_ENG-21'!F39,"-")</f>
        <v>1</v>
      </c>
      <c r="U16" s="220">
        <f>IF('PTP_ENG-21'!F40&lt;&gt;"",'PTP_ENG-21'!F40,"-")</f>
        <v>1</v>
      </c>
      <c r="V16" s="220">
        <f>IF('PTP_ENG-21'!F41&lt;&gt;"",'PTP_ENG-21'!F41,"-")</f>
        <v>2</v>
      </c>
      <c r="W16" s="220">
        <f>IF('PTP_ENG-21'!F42&lt;&gt;"",'PTP_ENG-21'!F42,"-")</f>
        <v>1</v>
      </c>
      <c r="X16" s="220">
        <f>IF('PTP_ENG-21'!F43&lt;&gt;"",'PTP_ENG-21'!F43,"-")</f>
        <v>1</v>
      </c>
      <c r="Y16" s="220">
        <f>IF('PTP_ENG-21'!F44&lt;&gt;"",'PTP_ENG-21'!F44,"-")</f>
        <v>1</v>
      </c>
      <c r="Z16" s="220">
        <f>IF('PTP_ENG-21'!F45&lt;&gt;"",'PTP_ENG-21'!F45,"-")</f>
        <v>1</v>
      </c>
      <c r="AA16" s="220">
        <f>IF('PTP_ENG-21'!F46&lt;&gt;"",'PTP_ENG-21'!F46,"-")</f>
        <v>1</v>
      </c>
      <c r="AB16" s="220">
        <f>IF('PTP_ENG-21'!F41&lt;&gt;"",'PTP_ENG-21'!F47,"-")</f>
        <v>1</v>
      </c>
      <c r="AC16" s="220">
        <f>IF('PTP_ENG-21'!F42&lt;&gt;"",'PTP_ENG-21'!F48,"-")</f>
        <v>1</v>
      </c>
      <c r="AD16" s="220">
        <f>IF('PTP_ENG-21'!F43&lt;&gt;"",'PTP_ENG-21'!F49,"-")</f>
        <v>1</v>
      </c>
      <c r="AE16" s="220">
        <f>IF('PTP_ENG-21'!F44&lt;&gt;"",'PTP_ENG-21'!F50,"-")</f>
        <v>1</v>
      </c>
      <c r="AF16" s="220">
        <f>IF('PTP_ENG-21'!F45&lt;&gt;"",'PTP_ENG-21'!F51,"-")</f>
        <v>2</v>
      </c>
      <c r="AG16" s="220">
        <f>IF('PTP_ENG-21'!F46&lt;&gt;"",'PTP_ENG-21'!F52,"-")</f>
        <v>1</v>
      </c>
    </row>
    <row r="17" spans="1:33" s="78" customFormat="1" ht="24" customHeight="1" x14ac:dyDescent="0.35">
      <c r="A17" s="79">
        <v>20</v>
      </c>
      <c r="B17" s="170" t="str">
        <f>IF('PTP_ENG-20'!C5&lt;&gt;"",'PTP_ENG-20'!C5,"-")</f>
        <v>Nuttha Sirisoda</v>
      </c>
      <c r="C17" s="139" t="str">
        <f>IF('PTP_ENG-20'!I5&lt;&gt;"",'PTP_ENG-20'!I5,"-")</f>
        <v>Engineer</v>
      </c>
      <c r="D17" s="139" t="str">
        <f>IF('PTP_ENG-20'!C7&lt;&gt;"",'PTP_ENG-20'!C7,"-")</f>
        <v>Python Developer</v>
      </c>
      <c r="E17" s="139">
        <f>IF('PTP_ENG-20'!F7&lt;&gt;"",'PTP_ENG-20'!F7,"-")</f>
        <v>1</v>
      </c>
      <c r="F17" s="139">
        <f>IF('PTP_ENG-20'!I7&lt;&gt;"",'PTP_ENG-20'!I7,"-")</f>
        <v>1</v>
      </c>
      <c r="G17" s="139" t="str">
        <f>IF('PTP_ENG-20'!C9&lt;&gt;"",'PTP_ENG-20'!C9,"-")</f>
        <v>Intermediate</v>
      </c>
      <c r="H17" s="220">
        <f>IF('PTP_ENG-20'!F27&lt;&gt;"",'PTP_ENG-20'!F27,"-")</f>
        <v>1</v>
      </c>
      <c r="I17" s="220">
        <f>IF('PTP_ENG-20'!F28&lt;&gt;"",'PTP_ENG-20'!F28,"-")</f>
        <v>1</v>
      </c>
      <c r="J17" s="220">
        <f>IF('PTP_ENG-20'!F29&lt;&gt;"",'PTP_ENG-20'!F29,"-")</f>
        <v>1</v>
      </c>
      <c r="K17" s="220">
        <f>IF('PTP_ENG-20'!F30&lt;&gt;"",'PTP_ENG-20'!F30,"-")</f>
        <v>1</v>
      </c>
      <c r="L17" s="220">
        <f>IF('PTP_ENG-20'!F31&lt;&gt;"",'PTP_ENG-20'!F31,"-")</f>
        <v>1</v>
      </c>
      <c r="M17" s="220">
        <f>IF('PTP_ENG-20'!F32&lt;&gt;"",'PTP_ENG-20'!F32,"-")</f>
        <v>1</v>
      </c>
      <c r="N17" s="220">
        <f>IF('PTP_ENG-20'!F33&lt;&gt;"",'PTP_ENG-20'!F33,"-")</f>
        <v>1</v>
      </c>
      <c r="O17" s="220">
        <f>IF('PTP_ENG-20'!F34&lt;&gt;"",'PTP_ENG-20'!F34,"-")</f>
        <v>1</v>
      </c>
      <c r="P17" s="220">
        <f>IF('PTP_ENG-20'!F35&lt;&gt;"",'PTP_ENG-20'!F35,"-")</f>
        <v>1</v>
      </c>
      <c r="Q17" s="220">
        <f>IF('PTP_ENG-20'!F36&lt;&gt;"",'PTP_ENG-20'!F36,"-")</f>
        <v>1</v>
      </c>
      <c r="R17" s="220">
        <f>IF('PTP_ENG-20'!F37&lt;&gt;"",'PTP_ENG-20'!F37,"-")</f>
        <v>1</v>
      </c>
      <c r="S17" s="220">
        <f>IF('PTP_ENG-20'!F38&lt;&gt;"",'PTP_ENG-20'!F38,"-")</f>
        <v>2</v>
      </c>
      <c r="T17" s="220">
        <f>IF('PTP_ENG-20'!F39&lt;&gt;"",'PTP_ENG-20'!F39,"-")</f>
        <v>1</v>
      </c>
      <c r="U17" s="220">
        <f>IF('PTP_ENG-20'!F40&lt;&gt;"",'PTP_ENG-20'!F40,"-")</f>
        <v>1</v>
      </c>
      <c r="V17" s="220">
        <f>IF('PTP_ENG-20'!F41&lt;&gt;"",'PTP_ENG-20'!F41,"-")</f>
        <v>1</v>
      </c>
      <c r="W17" s="220">
        <f>IF('PTP_ENG-20'!F42&lt;&gt;"",'PTP_ENG-20'!F42,"-")</f>
        <v>2</v>
      </c>
      <c r="X17" s="220">
        <f>IF('PTP_ENG-20'!F43&lt;&gt;"",'PTP_ENG-20'!F43,"-")</f>
        <v>2</v>
      </c>
      <c r="Y17" s="220">
        <f>IF('PTP_ENG-20'!F44&lt;&gt;"",'PTP_ENG-20'!F44,"-")</f>
        <v>1</v>
      </c>
      <c r="Z17" s="220">
        <f>IF('PTP_ENG-20'!F45&lt;&gt;"",'PTP_ENG-20'!F45,"-")</f>
        <v>1</v>
      </c>
      <c r="AA17" s="220">
        <f>IF('PTP_ENG-20'!F46&lt;&gt;"",'PTP_ENG-20'!F46,"-")</f>
        <v>1</v>
      </c>
      <c r="AB17" s="220">
        <f>IF('PTP_ENG-20'!F41&lt;&gt;"",'PTP_ENG-20'!F47,"-")</f>
        <v>1</v>
      </c>
      <c r="AC17" s="220">
        <f>IF('PTP_ENG-20'!F42&lt;&gt;"",'PTP_ENG-20'!F48,"-")</f>
        <v>1</v>
      </c>
      <c r="AD17" s="220">
        <f>IF('PTP_ENG-20'!F43&lt;&gt;"",'PTP_ENG-20'!F49,"-")</f>
        <v>1</v>
      </c>
      <c r="AE17" s="220">
        <f>IF('PTP_ENG-20'!F44&lt;&gt;"",'PTP_ENG-20'!F50,"-")</f>
        <v>1</v>
      </c>
      <c r="AF17" s="220">
        <f>IF('PTP_ENG-20'!F45&lt;&gt;"",'PTP_ENG-20'!F51,"-")</f>
        <v>2</v>
      </c>
      <c r="AG17" s="220">
        <f>IF('PTP_ENG-20'!F46&lt;&gt;"",'PTP_ENG-20'!F52,"-")</f>
        <v>1</v>
      </c>
    </row>
    <row r="18" spans="1:33" s="78" customFormat="1" ht="24" customHeight="1" x14ac:dyDescent="0.35">
      <c r="A18" s="78">
        <v>13</v>
      </c>
      <c r="B18" s="170" t="str">
        <f>IF('PTP_ENG-13'!C5&lt;&gt;"",'PTP_ENG-13'!C5,"-")</f>
        <v>Vorapong Paiboonplayoi</v>
      </c>
      <c r="C18" s="139" t="str">
        <f>IF('PTP_ENG-13'!I5&lt;&gt;"",'PTP_ENG-13'!I5,"-")</f>
        <v>Engineer</v>
      </c>
      <c r="D18" s="139" t="str">
        <f>IF('PTP_ENG-13'!C7&lt;&gt;"",'PTP_ENG-13'!C7,"-")</f>
        <v>Mobile Developer</v>
      </c>
      <c r="E18" s="139">
        <f>IF('PTP_ENG-13'!F7&lt;&gt;"",'PTP_ENG-13'!F7,"-")</f>
        <v>2</v>
      </c>
      <c r="F18" s="139">
        <f>IF('PTP_ENG-13'!I7&lt;&gt;"",'PTP_ENG-13'!I7,"-")</f>
        <v>1</v>
      </c>
      <c r="G18" s="139" t="str">
        <f>IF('PTP_ENG-13'!C9&lt;&gt;"",'PTP_ENG-13'!C9,"-")</f>
        <v>Intermediate</v>
      </c>
      <c r="H18" s="220">
        <f>IF('PTP_ENG-13'!F27&lt;&gt;"",'PTP_ENG-13'!F27,"-")</f>
        <v>1</v>
      </c>
      <c r="I18" s="220">
        <f>IF('PTP_ENG-13'!F28&lt;&gt;"",'PTP_ENG-13'!F28,"-")</f>
        <v>1</v>
      </c>
      <c r="J18" s="220">
        <f>IF('PTP_ENG-13'!F29&lt;&gt;"",'PTP_ENG-13'!F29,"-")</f>
        <v>1</v>
      </c>
      <c r="K18" s="220">
        <f>IF('PTP_ENG-13'!F30&lt;&gt;"",'PTP_ENG-13'!F30,"-")</f>
        <v>1</v>
      </c>
      <c r="L18" s="220">
        <f>IF('PTP_ENG-13'!F31&lt;&gt;"",'PTP_ENG-13'!F31,"-")</f>
        <v>3</v>
      </c>
      <c r="M18" s="220">
        <f>IF('PTP_ENG-13'!F32&lt;&gt;"",'PTP_ENG-13'!F32,"-")</f>
        <v>3</v>
      </c>
      <c r="N18" s="220">
        <f>IF('PTP_ENG-13'!F33&lt;&gt;"",'PTP_ENG-13'!F33,"-")</f>
        <v>3</v>
      </c>
      <c r="O18" s="220">
        <f>IF('PTP_ENG-13'!F34&lt;&gt;"",'PTP_ENG-13'!F34,"-")</f>
        <v>3</v>
      </c>
      <c r="P18" s="220">
        <f>IF('PTP_ENG-13'!F35&lt;&gt;"",'PTP_ENG-13'!F35,"-")</f>
        <v>1</v>
      </c>
      <c r="Q18" s="220">
        <f>IF('PTP_ENG-13'!F36&lt;&gt;"",'PTP_ENG-13'!F36,"-")</f>
        <v>1</v>
      </c>
      <c r="R18" s="220">
        <f>IF('PTP_ENG-13'!F37&lt;&gt;"",'PTP_ENG-13'!F37,"-")</f>
        <v>1</v>
      </c>
      <c r="S18" s="220">
        <f>IF('PTP_ENG-13'!F38&lt;&gt;"",'PTP_ENG-13'!F38,"-")</f>
        <v>2</v>
      </c>
      <c r="T18" s="220">
        <f>IF('PTP_ENG-13'!F39&lt;&gt;"",'PTP_ENG-13'!F39,"-")</f>
        <v>1</v>
      </c>
      <c r="U18" s="220">
        <f>IF('PTP_ENG-13'!F40&lt;&gt;"",'PTP_ENG-13'!F40,"-")</f>
        <v>1</v>
      </c>
      <c r="V18" s="220">
        <f>IF('PTP_ENG-13'!F41&lt;&gt;"",'PTP_ENG-13'!F41,"-")</f>
        <v>1</v>
      </c>
      <c r="W18" s="220">
        <f>IF('PTP_ENG-13'!F42&lt;&gt;"",'PTP_ENG-13'!F42,"-")</f>
        <v>1</v>
      </c>
      <c r="X18" s="220">
        <f>IF('PTP_ENG-13'!F43&lt;&gt;"",'PTP_ENG-13'!F43,"-")</f>
        <v>1</v>
      </c>
      <c r="Y18" s="220">
        <f>IF('PTP_ENG-13'!F44&lt;&gt;"",'PTP_ENG-13'!F44,"-")</f>
        <v>1</v>
      </c>
      <c r="Z18" s="220">
        <f>IF('PTP_ENG-13'!F45&lt;&gt;"",'PTP_ENG-13'!F45,"-")</f>
        <v>1</v>
      </c>
      <c r="AA18" s="220">
        <f>IF('PTP_ENG-13'!F46&lt;&gt;"",'PTP_ENG-13'!F46,"-")</f>
        <v>1</v>
      </c>
      <c r="AB18" s="220">
        <f>IF('PTP_ENG-13'!F41&lt;&gt;"",'PTP_ENG-13'!F47,"-")</f>
        <v>1</v>
      </c>
      <c r="AC18" s="220">
        <f>IF('PTP_ENG-13'!F42&lt;&gt;"",'PTP_ENG-13'!F48,"-")</f>
        <v>1</v>
      </c>
      <c r="AD18" s="220">
        <f>IF('PTP_ENG-13'!F43&lt;&gt;"",'PTP_ENG-13'!F49,"-")</f>
        <v>1</v>
      </c>
      <c r="AE18" s="220">
        <f>IF('PTP_ENG-13'!F44&lt;&gt;"",'PTP_ENG-13'!F50,"-")</f>
        <v>1</v>
      </c>
      <c r="AF18" s="220">
        <f>IF('PTP_ENG-13'!F45&lt;&gt;"",'PTP_ENG-13'!F51,"-")</f>
        <v>1</v>
      </c>
      <c r="AG18" s="220">
        <f>IF('PTP_ENG-13'!F46&lt;&gt;"",'PTP_ENG-13'!F52,"-")</f>
        <v>1</v>
      </c>
    </row>
    <row r="19" spans="1:33" s="78" customFormat="1" ht="24" customHeight="1" x14ac:dyDescent="0.35">
      <c r="A19" s="78">
        <v>23</v>
      </c>
      <c r="B19" s="170" t="str">
        <f>IF('PTP_ENG-23'!C5&lt;&gt;"",'PTP_ENG-23'!C5,"-")</f>
        <v>Chavalit Deeudomwongsa</v>
      </c>
      <c r="C19" s="139" t="str">
        <f>IF('PTP_ENG-23'!I5&lt;&gt;"",'PTP_ENG-23'!I5,"-")</f>
        <v>Engineer</v>
      </c>
      <c r="D19" s="139" t="str">
        <f>IF('PTP_ENG-23'!C7&lt;&gt;"",'PTP_ENG-23'!C7,"-")</f>
        <v>Software Quality Assurance Engineer</v>
      </c>
      <c r="E19" s="139">
        <f>IF('PTP_ENG-23'!F7&lt;&gt;"",'PTP_ENG-23'!F7,"-")</f>
        <v>1</v>
      </c>
      <c r="F19" s="139">
        <f>IF('PTP_ENG-23'!I7&lt;&gt;"",'PTP_ENG-23'!I7,"-")</f>
        <v>1</v>
      </c>
      <c r="G19" s="139" t="str">
        <f>IF('PTP_ENG-23'!C9&lt;&gt;"",'PTP_ENG-23'!C9,"-")</f>
        <v>Intermediate</v>
      </c>
      <c r="H19" s="220">
        <f>IF('PTP_ENG-23'!F27&lt;&gt;"",'PTP_ENG-23'!F27,"-")</f>
        <v>1</v>
      </c>
      <c r="I19" s="220">
        <f>IF('PTP_ENG-23'!F28&lt;&gt;"",'PTP_ENG-23'!F28,"-")</f>
        <v>1</v>
      </c>
      <c r="J19" s="220">
        <f>IF('PTP_ENG-23'!F29&lt;&gt;"",'PTP_ENG-23'!F29,"-")</f>
        <v>1</v>
      </c>
      <c r="K19" s="220">
        <f>IF('PTP_ENG-23'!F30&lt;&gt;"",'PTP_ENG-23'!F30,"-")</f>
        <v>1</v>
      </c>
      <c r="L19" s="220">
        <f>IF('PTP_ENG-23'!F31&lt;&gt;"",'PTP_ENG-23'!F31,"-")</f>
        <v>1</v>
      </c>
      <c r="M19" s="220">
        <f>IF('PTP_ENG-23'!F32&lt;&gt;"",'PTP_ENG-23'!F32,"-")</f>
        <v>1</v>
      </c>
      <c r="N19" s="220">
        <f>IF('PTP_ENG-23'!F33&lt;&gt;"",'PTP_ENG-23'!F33,"-")</f>
        <v>1</v>
      </c>
      <c r="O19" s="220">
        <f>IF('PTP_ENG-23'!F34&lt;&gt;"",'PTP_ENG-23'!F34,"-")</f>
        <v>1</v>
      </c>
      <c r="P19" s="220">
        <f>IF('PTP_ENG-23'!F35&lt;&gt;"",'PTP_ENG-23'!F35,"-")</f>
        <v>1</v>
      </c>
      <c r="Q19" s="220">
        <f>IF('PTP_ENG-23'!F36&lt;&gt;"",'PTP_ENG-23'!F36,"-")</f>
        <v>1</v>
      </c>
      <c r="R19" s="220">
        <f>IF('PTP_ENG-23'!F37&lt;&gt;"",'PTP_ENG-23'!F37,"-")</f>
        <v>1</v>
      </c>
      <c r="S19" s="220">
        <f>IF('PTP_ENG-23'!F38&lt;&gt;"",'PTP_ENG-23'!F38,"-")</f>
        <v>2</v>
      </c>
      <c r="T19" s="220">
        <f>IF('PTP_ENG-23'!F39&lt;&gt;"",'PTP_ENG-23'!F39,"-")</f>
        <v>1</v>
      </c>
      <c r="U19" s="220">
        <f>IF('PTP_ENG-23'!F40&lt;&gt;"",'PTP_ENG-23'!F40,"-")</f>
        <v>1</v>
      </c>
      <c r="V19" s="220">
        <f>IF('PTP_ENG-23'!F41&lt;&gt;"",'PTP_ENG-23'!F41,"-")</f>
        <v>1</v>
      </c>
      <c r="W19" s="220">
        <f>IF('PTP_ENG-23'!F42&lt;&gt;"",'PTP_ENG-23'!F42,"-")</f>
        <v>1</v>
      </c>
      <c r="X19" s="220">
        <f>IF('PTP_ENG-23'!F43&lt;&gt;"",'PTP_ENG-23'!F43,"-")</f>
        <v>1</v>
      </c>
      <c r="Y19" s="220">
        <f>IF('PTP_ENG-23'!F44&lt;&gt;"",'PTP_ENG-23'!F44,"-")</f>
        <v>2</v>
      </c>
      <c r="Z19" s="220">
        <f>IF('PTP_ENG-23'!F45&lt;&gt;"",'PTP_ENG-23'!F45,"-")</f>
        <v>1</v>
      </c>
      <c r="AA19" s="220">
        <f>IF('PTP_ENG-23'!F46&lt;&gt;"",'PTP_ENG-23'!F46,"-")</f>
        <v>2</v>
      </c>
      <c r="AB19" s="220">
        <f>IF('PTP_ENG-23'!F41&lt;&gt;"",'PTP_ENG-23'!F47,"-")</f>
        <v>1</v>
      </c>
      <c r="AC19" s="220">
        <f>IF('PTP_ENG-23'!F42&lt;&gt;"",'PTP_ENG-23'!F48,"-")</f>
        <v>1</v>
      </c>
      <c r="AD19" s="220">
        <f>IF('PTP_ENG-23'!F43&lt;&gt;"",'PTP_ENG-23'!F49,"-")</f>
        <v>2</v>
      </c>
      <c r="AE19" s="220">
        <f>IF('PTP_ENG-23'!F44&lt;&gt;"",'PTP_ENG-23'!F50,"-")</f>
        <v>3</v>
      </c>
      <c r="AF19" s="220">
        <f>IF('PTP_ENG-23'!F45&lt;&gt;"",'PTP_ENG-23'!F51,"-")</f>
        <v>2</v>
      </c>
      <c r="AG19" s="220">
        <f>IF('PTP_ENG-23'!F46&lt;&gt;"",'PTP_ENG-23'!F52,"-")</f>
        <v>1</v>
      </c>
    </row>
    <row r="20" spans="1:33" s="78" customFormat="1" ht="24" customHeight="1" x14ac:dyDescent="0.35">
      <c r="A20" s="78">
        <v>11</v>
      </c>
      <c r="B20" s="170" t="str">
        <f>IF('PTP_ENG-11'!C5&lt;&gt;"",'PTP_ENG-11'!C5,"-")</f>
        <v>Chomchanok Tangmahasuk</v>
      </c>
      <c r="C20" s="139" t="str">
        <f>IF('PTP_ENG-11'!I5&lt;&gt;"",'PTP_ENG-11'!I5,"-")</f>
        <v>Engineer</v>
      </c>
      <c r="D20" s="139" t="str">
        <f>IF('PTP_ENG-11'!C7&lt;&gt;"",'PTP_ENG-11'!C7,"-")</f>
        <v>Android Developer</v>
      </c>
      <c r="E20" s="139">
        <f>IF('PTP_ENG-11'!F7&lt;&gt;"",'PTP_ENG-11'!F7,"-")</f>
        <v>2</v>
      </c>
      <c r="F20" s="139">
        <f>IF('PTP_ENG-11'!I7&lt;&gt;"",'PTP_ENG-11'!I7,"-")</f>
        <v>1</v>
      </c>
      <c r="G20" s="139" t="str">
        <f>IF('PTP_ENG-11'!C9&lt;&gt;"",'PTP_ENG-11'!C9,"-")</f>
        <v>Intermediate</v>
      </c>
      <c r="H20" s="220">
        <f>IF('PTP_ENG-11'!F27&lt;&gt;"",'PTP_ENG-11'!F27,"-")</f>
        <v>1</v>
      </c>
      <c r="I20" s="220">
        <f>IF('PTP_ENG-11'!F28&lt;&gt;"",'PTP_ENG-11'!F28,"-")</f>
        <v>1</v>
      </c>
      <c r="J20" s="220">
        <f>IF('PTP_ENG-11'!F29&lt;&gt;"",'PTP_ENG-11'!F29,"-")</f>
        <v>1</v>
      </c>
      <c r="K20" s="220">
        <f>IF('PTP_ENG-11'!F30&lt;&gt;"",'PTP_ENG-11'!F30,"-")</f>
        <v>1</v>
      </c>
      <c r="L20" s="220">
        <f>IF('PTP_ENG-11'!F31&lt;&gt;"",'PTP_ENG-11'!F31,"-")</f>
        <v>3</v>
      </c>
      <c r="M20" s="220">
        <f>IF('PTP_ENG-11'!F32&lt;&gt;"",'PTP_ENG-11'!F32,"-")</f>
        <v>3</v>
      </c>
      <c r="N20" s="220">
        <f>IF('PTP_ENG-11'!F33&lt;&gt;"",'PTP_ENG-11'!F33,"-")</f>
        <v>3</v>
      </c>
      <c r="O20" s="220">
        <f>IF('PTP_ENG-11'!F34&lt;&gt;"",'PTP_ENG-11'!F34,"-")</f>
        <v>2</v>
      </c>
      <c r="P20" s="220">
        <f>IF('PTP_ENG-11'!F35&lt;&gt;"",'PTP_ENG-11'!F35,"-")</f>
        <v>1</v>
      </c>
      <c r="Q20" s="220">
        <f>IF('PTP_ENG-11'!F36&lt;&gt;"",'PTP_ENG-11'!F36,"-")</f>
        <v>1</v>
      </c>
      <c r="R20" s="220">
        <f>IF('PTP_ENG-11'!F37&lt;&gt;"",'PTP_ENG-11'!F37,"-")</f>
        <v>1</v>
      </c>
      <c r="S20" s="220">
        <f>IF('PTP_ENG-11'!F38&lt;&gt;"",'PTP_ENG-11'!F38,"-")</f>
        <v>1</v>
      </c>
      <c r="T20" s="220">
        <f>IF('PTP_ENG-11'!F39&lt;&gt;"",'PTP_ENG-11'!F39,"-")</f>
        <v>1</v>
      </c>
      <c r="U20" s="220">
        <f>IF('PTP_ENG-11'!F40&lt;&gt;"",'PTP_ENG-11'!F40,"-")</f>
        <v>1</v>
      </c>
      <c r="V20" s="220">
        <f>IF('PTP_ENG-11'!F41&lt;&gt;"",'PTP_ENG-11'!F41,"-")</f>
        <v>1</v>
      </c>
      <c r="W20" s="220">
        <f>IF('PTP_ENG-11'!F42&lt;&gt;"",'PTP_ENG-11'!F42,"-")</f>
        <v>1</v>
      </c>
      <c r="X20" s="220">
        <f>IF('PTP_ENG-11'!F43&lt;&gt;"",'PTP_ENG-11'!F43,"-")</f>
        <v>1</v>
      </c>
      <c r="Y20" s="220">
        <f>IF('PTP_ENG-11'!F44&lt;&gt;"",'PTP_ENG-11'!F44,"-")</f>
        <v>1</v>
      </c>
      <c r="Z20" s="220">
        <f>IF('PTP_ENG-11'!F45&lt;&gt;"",'PTP_ENG-11'!F45,"-")</f>
        <v>1</v>
      </c>
      <c r="AA20" s="220">
        <f>IF('PTP_ENG-11'!F46&lt;&gt;"",'PTP_ENG-11'!F46,"-")</f>
        <v>1</v>
      </c>
      <c r="AB20" s="220">
        <f>IF('PTP_ENG-11'!F41&lt;&gt;"",'PTP_ENG-11'!F47,"-")</f>
        <v>3</v>
      </c>
      <c r="AC20" s="220">
        <f>IF('PTP_ENG-11'!F42&lt;&gt;"",'PTP_ENG-11'!F48,"-")</f>
        <v>2</v>
      </c>
      <c r="AD20" s="220">
        <f>IF('PTP_ENG-11'!F43&lt;&gt;"",'PTP_ENG-11'!F49,"-")</f>
        <v>3</v>
      </c>
      <c r="AE20" s="220">
        <f>IF('PTP_ENG-11'!F44&lt;&gt;"",'PTP_ENG-11'!F50,"-")</f>
        <v>3</v>
      </c>
      <c r="AF20" s="220">
        <f>IF('PTP_ENG-11'!F45&lt;&gt;"",'PTP_ENG-11'!F51,"-")</f>
        <v>3</v>
      </c>
      <c r="AG20" s="220">
        <f>IF('PTP_ENG-11'!F46&lt;&gt;"",'PTP_ENG-11'!F52,"-")</f>
        <v>2</v>
      </c>
    </row>
    <row r="21" spans="1:33" s="78" customFormat="1" ht="24" customHeight="1" x14ac:dyDescent="0.35">
      <c r="A21" s="79">
        <v>18</v>
      </c>
      <c r="B21" s="170" t="str">
        <f>IF('PTP_ENG-18'!C5&lt;&gt;"",'PTP_ENG-18'!C5,"-")</f>
        <v>Pattadon Adhipanyasarij</v>
      </c>
      <c r="C21" s="139" t="str">
        <f>IF('PTP_ENG-18'!I5&lt;&gt;"",'PTP_ENG-18'!I5,"-")</f>
        <v>Engineer</v>
      </c>
      <c r="D21" s="139" t="str">
        <f>IF('PTP_ENG-18'!C7&lt;&gt;"",'PTP_ENG-18'!C7,"-")</f>
        <v>Android Developer</v>
      </c>
      <c r="E21" s="139">
        <f>IF('PTP_ENG-18'!F7&lt;&gt;"",'PTP_ENG-18'!F7,"-")</f>
        <v>1</v>
      </c>
      <c r="F21" s="139">
        <f>IF('PTP_ENG-18'!I7&lt;&gt;"",'PTP_ENG-18'!I7,"-")</f>
        <v>1</v>
      </c>
      <c r="G21" s="139" t="str">
        <f>IF('PTP_ENG-18'!C9&lt;&gt;"",'PTP_ENG-18'!C9,"-")</f>
        <v>Intermediate</v>
      </c>
      <c r="H21" s="220">
        <f>IF('PTP_ENG-18'!F27&lt;&gt;"",'PTP_ENG-18'!F27,"-")</f>
        <v>1</v>
      </c>
      <c r="I21" s="220">
        <f>IF('PTP_ENG-18'!F28&lt;&gt;"",'PTP_ENG-18'!F28,"-")</f>
        <v>1</v>
      </c>
      <c r="J21" s="220">
        <f>IF('PTP_ENG-18'!F29&lt;&gt;"",'PTP_ENG-18'!F29,"-")</f>
        <v>1</v>
      </c>
      <c r="K21" s="220">
        <f>IF('PTP_ENG-18'!F30&lt;&gt;"",'PTP_ENG-18'!F30,"-")</f>
        <v>1</v>
      </c>
      <c r="L21" s="220">
        <f>IF('PTP_ENG-18'!F31&lt;&gt;"",'PTP_ENG-18'!F31,"-")</f>
        <v>2</v>
      </c>
      <c r="M21" s="220">
        <f>IF('PTP_ENG-18'!F32&lt;&gt;"",'PTP_ENG-18'!F32,"-")</f>
        <v>3</v>
      </c>
      <c r="N21" s="220">
        <f>IF('PTP_ENG-18'!F33&lt;&gt;"",'PTP_ENG-18'!F33,"-")</f>
        <v>2</v>
      </c>
      <c r="O21" s="220">
        <f>IF('PTP_ENG-18'!F34&lt;&gt;"",'PTP_ENG-18'!F34,"-")</f>
        <v>2</v>
      </c>
      <c r="P21" s="220">
        <f>IF('PTP_ENG-18'!F35&lt;&gt;"",'PTP_ENG-18'!F35,"-")</f>
        <v>1</v>
      </c>
      <c r="Q21" s="220">
        <f>IF('PTP_ENG-18'!F36&lt;&gt;"",'PTP_ENG-18'!F36,"-")</f>
        <v>1</v>
      </c>
      <c r="R21" s="220">
        <f>IF('PTP_ENG-18'!F37&lt;&gt;"",'PTP_ENG-18'!F37,"-")</f>
        <v>1</v>
      </c>
      <c r="S21" s="220">
        <f>IF('PTP_ENG-18'!F38&lt;&gt;"",'PTP_ENG-18'!F38,"-")</f>
        <v>1</v>
      </c>
      <c r="T21" s="220">
        <f>IF('PTP_ENG-18'!F39&lt;&gt;"",'PTP_ENG-18'!F39,"-")</f>
        <v>1</v>
      </c>
      <c r="U21" s="220">
        <f>IF('PTP_ENG-18'!F40&lt;&gt;"",'PTP_ENG-18'!F40,"-")</f>
        <v>1</v>
      </c>
      <c r="V21" s="220">
        <f>IF('PTP_ENG-18'!F41&lt;&gt;"",'PTP_ENG-18'!F41,"-")</f>
        <v>1</v>
      </c>
      <c r="W21" s="220">
        <f>IF('PTP_ENG-18'!F42&lt;&gt;"",'PTP_ENG-18'!F42,"-")</f>
        <v>1</v>
      </c>
      <c r="X21" s="220">
        <f>IF('PTP_ENG-18'!F43&lt;&gt;"",'PTP_ENG-18'!F43,"-")</f>
        <v>1</v>
      </c>
      <c r="Y21" s="220">
        <f>IF('PTP_ENG-18'!F44&lt;&gt;"",'PTP_ENG-18'!F44,"-")</f>
        <v>1</v>
      </c>
      <c r="Z21" s="220">
        <f>IF('PTP_ENG-18'!F45&lt;&gt;"",'PTP_ENG-18'!F45,"-")</f>
        <v>1</v>
      </c>
      <c r="AA21" s="220">
        <f>IF('PTP_ENG-18'!F46&lt;&gt;"",'PTP_ENG-18'!F46,"-")</f>
        <v>1</v>
      </c>
      <c r="AB21" s="220">
        <f>IF('PTP_ENG-18'!F41&lt;&gt;"",'PTP_ENG-18'!F47,"-")</f>
        <v>1</v>
      </c>
      <c r="AC21" s="220">
        <f>IF('PTP_ENG-18'!F42&lt;&gt;"",'PTP_ENG-18'!F48,"-")</f>
        <v>1</v>
      </c>
      <c r="AD21" s="220">
        <f>IF('PTP_ENG-18'!F43&lt;&gt;"",'PTP_ENG-18'!F49,"-")</f>
        <v>1</v>
      </c>
      <c r="AE21" s="220">
        <f>IF('PTP_ENG-18'!F44&lt;&gt;"",'PTP_ENG-18'!F50,"-")</f>
        <v>2</v>
      </c>
      <c r="AF21" s="220">
        <f>IF('PTP_ENG-18'!F45&lt;&gt;"",'PTP_ENG-18'!F51,"-")</f>
        <v>2</v>
      </c>
      <c r="AG21" s="220">
        <f>IF('PTP_ENG-18'!F46&lt;&gt;"",'PTP_ENG-18'!F52,"-")</f>
        <v>1</v>
      </c>
    </row>
    <row r="22" spans="1:33" s="78" customFormat="1" ht="24" customHeight="1" x14ac:dyDescent="0.35">
      <c r="A22" s="78">
        <v>9</v>
      </c>
      <c r="B22" s="170" t="str">
        <f>IF('PTP_ENG-9'!C5&lt;&gt;"",'PTP_ENG-9'!C5,"-")</f>
        <v>Pirunrung Saeaui</v>
      </c>
      <c r="C22" s="139" t="str">
        <f>IF('PTP_ENG-9'!I5&lt;&gt;"",'PTP_ENG-9'!I5,"-")</f>
        <v>Engineer</v>
      </c>
      <c r="D22" s="139" t="str">
        <f>IF('PTP_ENG-9'!C7&lt;&gt;"",'PTP_ENG-9'!C7,"-")</f>
        <v>Software Engineer</v>
      </c>
      <c r="E22" s="139" t="str">
        <f>IF('PTP_ENG-9'!F7&lt;&gt;"",'PTP_ENG-9'!F7,"-")</f>
        <v>2ปี10เดือน</v>
      </c>
      <c r="F22" s="139">
        <f>IF('PTP_ENG-9'!I7&lt;&gt;"",'PTP_ENG-9'!I7,"-")</f>
        <v>1</v>
      </c>
      <c r="G22" s="139" t="str">
        <f>IF('PTP_ENG-9'!C9&lt;&gt;"",'PTP_ENG-9'!C9,"-")</f>
        <v>Intermediate</v>
      </c>
      <c r="H22" s="220">
        <f>IF('PTP_ENG-9'!F27&lt;&gt;"",'PTP_ENG-9'!F27,"-")</f>
        <v>4</v>
      </c>
      <c r="I22" s="220">
        <f>IF('PTP_ENG-9'!F28&lt;&gt;"",'PTP_ENG-9'!F28,"-")</f>
        <v>2</v>
      </c>
      <c r="J22" s="220">
        <f>IF('PTP_ENG-9'!F29&lt;&gt;"",'PTP_ENG-9'!F29,"-")</f>
        <v>2</v>
      </c>
      <c r="K22" s="220">
        <f>IF('PTP_ENG-9'!F30&lt;&gt;"",'PTP_ENG-9'!F30,"-")</f>
        <v>3</v>
      </c>
      <c r="L22" s="220">
        <f>IF('PTP_ENG-9'!F31&lt;&gt;"",'PTP_ENG-9'!F31,"-")</f>
        <v>1</v>
      </c>
      <c r="M22" s="220">
        <f>IF('PTP_ENG-9'!F32&lt;&gt;"",'PTP_ENG-9'!F32,"-")</f>
        <v>1</v>
      </c>
      <c r="N22" s="220">
        <f>IF('PTP_ENG-9'!F33&lt;&gt;"",'PTP_ENG-9'!F33,"-")</f>
        <v>1</v>
      </c>
      <c r="O22" s="220">
        <f>IF('PTP_ENG-9'!F34&lt;&gt;"",'PTP_ENG-9'!F34,"-")</f>
        <v>1</v>
      </c>
      <c r="P22" s="220">
        <f>IF('PTP_ENG-9'!F35&lt;&gt;"",'PTP_ENG-9'!F35,"-")</f>
        <v>1</v>
      </c>
      <c r="Q22" s="220">
        <f>IF('PTP_ENG-9'!F36&lt;&gt;"",'PTP_ENG-9'!F36,"-")</f>
        <v>1</v>
      </c>
      <c r="R22" s="220">
        <f>IF('PTP_ENG-9'!F37&lt;&gt;"",'PTP_ENG-9'!F37,"-")</f>
        <v>1</v>
      </c>
      <c r="S22" s="220">
        <f>IF('PTP_ENG-9'!F38&lt;&gt;"",'PTP_ENG-9'!F38,"-")</f>
        <v>1</v>
      </c>
      <c r="T22" s="220">
        <f>IF('PTP_ENG-9'!F39&lt;&gt;"",'PTP_ENG-9'!F39,"-")</f>
        <v>1</v>
      </c>
      <c r="U22" s="220">
        <f>IF('PTP_ENG-9'!F40&lt;&gt;"",'PTP_ENG-9'!F40,"-")</f>
        <v>1</v>
      </c>
      <c r="V22" s="220">
        <f>IF('PTP_ENG-9'!F41&lt;&gt;"",'PTP_ENG-9'!F41,"-")</f>
        <v>1</v>
      </c>
      <c r="W22" s="220">
        <f>IF('PTP_ENG-9'!F42&lt;&gt;"",'PTP_ENG-9'!F42,"-")</f>
        <v>1</v>
      </c>
      <c r="X22" s="220">
        <f>IF('PTP_ENG-9'!F43&lt;&gt;"",'PTP_ENG-9'!F43,"-")</f>
        <v>1</v>
      </c>
      <c r="Y22" s="220">
        <f>IF('PTP_ENG-9'!F44&lt;&gt;"",'PTP_ENG-9'!F44,"-")</f>
        <v>1</v>
      </c>
      <c r="Z22" s="220">
        <f>IF('PTP_ENG-9'!F45&lt;&gt;"",'PTP_ENG-9'!F45,"-")</f>
        <v>1</v>
      </c>
      <c r="AA22" s="220">
        <f>IF('PTP_ENG-9'!F46&lt;&gt;"",'PTP_ENG-9'!F46,"-")</f>
        <v>1</v>
      </c>
      <c r="AB22" s="220">
        <f>IF('PTP_ENG-9'!F41&lt;&gt;"",'PTP_ENG-9'!F47,"-")</f>
        <v>2</v>
      </c>
      <c r="AC22" s="220">
        <f>IF('PTP_ENG-9'!F42&lt;&gt;"",'PTP_ENG-9'!F48,"-")</f>
        <v>2</v>
      </c>
      <c r="AD22" s="220">
        <f>IF('PTP_ENG-9'!F43&lt;&gt;"",'PTP_ENG-9'!F49,"-")</f>
        <v>2</v>
      </c>
      <c r="AE22" s="220">
        <f>IF('PTP_ENG-9'!F44&lt;&gt;"",'PTP_ENG-9'!F50,"-")</f>
        <v>2</v>
      </c>
      <c r="AF22" s="220">
        <f>IF('PTP_ENG-9'!F45&lt;&gt;"",'PTP_ENG-9'!F51,"-")</f>
        <v>2</v>
      </c>
      <c r="AG22" s="220">
        <f>IF('PTP_ENG-9'!F46&lt;&gt;"",'PTP_ENG-9'!F52,"-")</f>
        <v>2</v>
      </c>
    </row>
    <row r="23" spans="1:33" s="78" customFormat="1" ht="24" customHeight="1" x14ac:dyDescent="0.35">
      <c r="A23" s="79">
        <v>14</v>
      </c>
      <c r="B23" s="170" t="str">
        <f>IF('PTP_ENG-14'!C5&lt;&gt;"",'PTP_ENG-14'!C5,"-")</f>
        <v>Aphinun Wanatanareeyachart</v>
      </c>
      <c r="C23" s="139" t="str">
        <f>IF('PTP_ENG-14'!I5&lt;&gt;"",'PTP_ENG-14'!I5,"-")</f>
        <v>Engineer</v>
      </c>
      <c r="D23" s="139" t="str">
        <f>IF('PTP_ENG-14'!C7&lt;&gt;"",'PTP_ENG-14'!C7,"-")</f>
        <v>Mobile Developer</v>
      </c>
      <c r="E23" s="139" t="str">
        <f>IF('PTP_ENG-14'!F7&lt;&gt;"",'PTP_ENG-14'!F7,"-")</f>
        <v>1 ปี 9 เดือน</v>
      </c>
      <c r="F23" s="139">
        <f>IF('PTP_ENG-14'!I7&lt;&gt;"",'PTP_ENG-14'!I7,"-")</f>
        <v>1</v>
      </c>
      <c r="G23" s="139" t="str">
        <f>IF('PTP_ENG-14'!C9&lt;&gt;"",'PTP_ENG-14'!C9,"-")</f>
        <v>Intermediate</v>
      </c>
      <c r="H23" s="220">
        <f>IF('PTP_ENG-14'!F27&lt;&gt;"",'PTP_ENG-14'!F27,"-")</f>
        <v>3</v>
      </c>
      <c r="I23" s="220">
        <f>IF('PTP_ENG-14'!F28&lt;&gt;"",'PTP_ENG-14'!F28,"-")</f>
        <v>2</v>
      </c>
      <c r="J23" s="220">
        <f>IF('PTP_ENG-14'!F29&lt;&gt;"",'PTP_ENG-14'!F29,"-")</f>
        <v>2</v>
      </c>
      <c r="K23" s="220">
        <f>IF('PTP_ENG-14'!F30&lt;&gt;"",'PTP_ENG-14'!F30,"-")</f>
        <v>3</v>
      </c>
      <c r="L23" s="220">
        <f>IF('PTP_ENG-14'!F31&lt;&gt;"",'PTP_ENG-14'!F31,"-")</f>
        <v>1</v>
      </c>
      <c r="M23" s="220">
        <f>IF('PTP_ENG-14'!F32&lt;&gt;"",'PTP_ENG-14'!F32,"-")</f>
        <v>1</v>
      </c>
      <c r="N23" s="220">
        <f>IF('PTP_ENG-14'!F33&lt;&gt;"",'PTP_ENG-14'!F33,"-")</f>
        <v>1</v>
      </c>
      <c r="O23" s="220">
        <f>IF('PTP_ENG-14'!F34&lt;&gt;"",'PTP_ENG-14'!F34,"-")</f>
        <v>1</v>
      </c>
      <c r="P23" s="220">
        <f>IF('PTP_ENG-14'!F35&lt;&gt;"",'PTP_ENG-14'!F35,"-")</f>
        <v>1</v>
      </c>
      <c r="Q23" s="220">
        <f>IF('PTP_ENG-14'!F36&lt;&gt;"",'PTP_ENG-14'!F36,"-")</f>
        <v>1</v>
      </c>
      <c r="R23" s="220">
        <f>IF('PTP_ENG-14'!F37&lt;&gt;"",'PTP_ENG-14'!F37,"-")</f>
        <v>1</v>
      </c>
      <c r="S23" s="220">
        <f>IF('PTP_ENG-14'!F38&lt;&gt;"",'PTP_ENG-14'!F38,"-")</f>
        <v>1</v>
      </c>
      <c r="T23" s="220">
        <f>IF('PTP_ENG-14'!F39&lt;&gt;"",'PTP_ENG-14'!F39,"-")</f>
        <v>1</v>
      </c>
      <c r="U23" s="220">
        <f>IF('PTP_ENG-14'!F40&lt;&gt;"",'PTP_ENG-14'!F40,"-")</f>
        <v>1</v>
      </c>
      <c r="V23" s="220">
        <f>IF('PTP_ENG-14'!F41&lt;&gt;"",'PTP_ENG-14'!F41,"-")</f>
        <v>1</v>
      </c>
      <c r="W23" s="220">
        <f>IF('PTP_ENG-14'!F42&lt;&gt;"",'PTP_ENG-14'!F42,"-")</f>
        <v>1</v>
      </c>
      <c r="X23" s="220">
        <f>IF('PTP_ENG-14'!F43&lt;&gt;"",'PTP_ENG-14'!F43,"-")</f>
        <v>1</v>
      </c>
      <c r="Y23" s="220">
        <f>IF('PTP_ENG-14'!F44&lt;&gt;"",'PTP_ENG-14'!F44,"-")</f>
        <v>1</v>
      </c>
      <c r="Z23" s="220">
        <f>IF('PTP_ENG-14'!F45&lt;&gt;"",'PTP_ENG-14'!F45,"-")</f>
        <v>1</v>
      </c>
      <c r="AA23" s="220">
        <f>IF('PTP_ENG-14'!F46&lt;&gt;"",'PTP_ENG-14'!F46,"-")</f>
        <v>1</v>
      </c>
      <c r="AB23" s="220">
        <f>IF('PTP_ENG-14'!F41&lt;&gt;"",'PTP_ENG-14'!F47,"-")</f>
        <v>1</v>
      </c>
      <c r="AC23" s="220">
        <f>IF('PTP_ENG-14'!F42&lt;&gt;"",'PTP_ENG-14'!F48,"-")</f>
        <v>2</v>
      </c>
      <c r="AD23" s="220">
        <f>IF('PTP_ENG-14'!F43&lt;&gt;"",'PTP_ENG-14'!F49,"-")</f>
        <v>1</v>
      </c>
      <c r="AE23" s="220">
        <f>IF('PTP_ENG-14'!F44&lt;&gt;"",'PTP_ENG-14'!F50,"-")</f>
        <v>2</v>
      </c>
      <c r="AF23" s="220">
        <f>IF('PTP_ENG-14'!F45&lt;&gt;"",'PTP_ENG-14'!F51,"-")</f>
        <v>2</v>
      </c>
      <c r="AG23" s="220">
        <f>IF('PTP_ENG-14'!F46&lt;&gt;"",'PTP_ENG-14'!F52,"-")</f>
        <v>2</v>
      </c>
    </row>
    <row r="24" spans="1:33" s="78" customFormat="1" ht="24" customHeight="1" x14ac:dyDescent="0.35">
      <c r="A24" s="78">
        <v>22</v>
      </c>
      <c r="B24" s="170" t="str">
        <f>IF('PTP_ENG-22'!C5&lt;&gt;"",'PTP_ENG-22'!C5,"-")</f>
        <v>Watchareeporn Treedach</v>
      </c>
      <c r="C24" s="139" t="str">
        <f>IF('PTP_ENG-22'!I5&lt;&gt;"",'PTP_ENG-22'!I5,"-")</f>
        <v>Engineer</v>
      </c>
      <c r="D24" s="139" t="str">
        <f>IF('PTP_ENG-22'!C7&lt;&gt;"",'PTP_ENG-22'!C7,"-")</f>
        <v>iOS Developer</v>
      </c>
      <c r="E24" s="139" t="str">
        <f>IF('PTP_ENG-22'!F7&lt;&gt;"",'PTP_ENG-22'!F7,"-")</f>
        <v>9เดือน21วัน</v>
      </c>
      <c r="F24" s="139">
        <f>IF('PTP_ENG-22'!I7&lt;&gt;"",'PTP_ENG-22'!I7,"-")</f>
        <v>1</v>
      </c>
      <c r="G24" s="139" t="str">
        <f>IF('PTP_ENG-22'!C9&lt;&gt;"",'PTP_ENG-22'!C9,"-")</f>
        <v>Entry/Junior</v>
      </c>
      <c r="H24" s="220">
        <f>IF('PTP_ENG-22'!F27&lt;&gt;"",'PTP_ENG-22'!F27,"-")</f>
        <v>2</v>
      </c>
      <c r="I24" s="220">
        <f>IF('PTP_ENG-22'!F28&lt;&gt;"",'PTP_ENG-22'!F28,"-")</f>
        <v>2</v>
      </c>
      <c r="J24" s="220">
        <f>IF('PTP_ENG-22'!F29&lt;&gt;"",'PTP_ENG-22'!F29,"-")</f>
        <v>2</v>
      </c>
      <c r="K24" s="220">
        <f>IF('PTP_ENG-22'!F30&lt;&gt;"",'PTP_ENG-22'!F30,"-")</f>
        <v>2</v>
      </c>
      <c r="L24" s="220">
        <f>IF('PTP_ENG-22'!F31&lt;&gt;"",'PTP_ENG-22'!F31,"-")</f>
        <v>1</v>
      </c>
      <c r="M24" s="220">
        <f>IF('PTP_ENG-22'!F32&lt;&gt;"",'PTP_ENG-22'!F32,"-")</f>
        <v>1</v>
      </c>
      <c r="N24" s="220">
        <f>IF('PTP_ENG-22'!F33&lt;&gt;"",'PTP_ENG-22'!F33,"-")</f>
        <v>1</v>
      </c>
      <c r="O24" s="220">
        <f>IF('PTP_ENG-22'!F34&lt;&gt;"",'PTP_ENG-22'!F34,"-")</f>
        <v>1</v>
      </c>
      <c r="P24" s="220">
        <f>IF('PTP_ENG-22'!F35&lt;&gt;"",'PTP_ENG-22'!F35,"-")</f>
        <v>1</v>
      </c>
      <c r="Q24" s="220">
        <f>IF('PTP_ENG-22'!F36&lt;&gt;"",'PTP_ENG-22'!F36,"-")</f>
        <v>1</v>
      </c>
      <c r="R24" s="220">
        <f>IF('PTP_ENG-22'!F37&lt;&gt;"",'PTP_ENG-22'!F37,"-")</f>
        <v>1</v>
      </c>
      <c r="S24" s="220">
        <f>IF('PTP_ENG-22'!F38&lt;&gt;"",'PTP_ENG-22'!F38,"-")</f>
        <v>1</v>
      </c>
      <c r="T24" s="220">
        <f>IF('PTP_ENG-22'!F39&lt;&gt;"",'PTP_ENG-22'!F39,"-")</f>
        <v>1</v>
      </c>
      <c r="U24" s="220">
        <f>IF('PTP_ENG-22'!F40&lt;&gt;"",'PTP_ENG-22'!F40,"-")</f>
        <v>1</v>
      </c>
      <c r="V24" s="220">
        <f>IF('PTP_ENG-22'!F41&lt;&gt;"",'PTP_ENG-22'!F41,"-")</f>
        <v>1</v>
      </c>
      <c r="W24" s="220">
        <f>IF('PTP_ENG-22'!F42&lt;&gt;"",'PTP_ENG-22'!F42,"-")</f>
        <v>1</v>
      </c>
      <c r="X24" s="220">
        <f>IF('PTP_ENG-22'!F43&lt;&gt;"",'PTP_ENG-22'!F43,"-")</f>
        <v>1</v>
      </c>
      <c r="Y24" s="220">
        <f>IF('PTP_ENG-22'!F44&lt;&gt;"",'PTP_ENG-22'!F44,"-")</f>
        <v>1</v>
      </c>
      <c r="Z24" s="220">
        <f>IF('PTP_ENG-22'!F45&lt;&gt;"",'PTP_ENG-22'!F45,"-")</f>
        <v>1</v>
      </c>
      <c r="AA24" s="220">
        <f>IF('PTP_ENG-22'!F46&lt;&gt;"",'PTP_ENG-22'!F46,"-")</f>
        <v>1</v>
      </c>
      <c r="AB24" s="220">
        <f>IF('PTP_ENG-22'!F41&lt;&gt;"",'PTP_ENG-22'!F47,"-")</f>
        <v>1</v>
      </c>
      <c r="AC24" s="220">
        <f>IF('PTP_ENG-22'!F42&lt;&gt;"",'PTP_ENG-22'!F48,"-")</f>
        <v>1</v>
      </c>
      <c r="AD24" s="220">
        <f>IF('PTP_ENG-22'!F43&lt;&gt;"",'PTP_ENG-22'!F49,"-")</f>
        <v>1</v>
      </c>
      <c r="AE24" s="220">
        <f>IF('PTP_ENG-22'!F44&lt;&gt;"",'PTP_ENG-22'!F50,"-")</f>
        <v>1</v>
      </c>
      <c r="AF24" s="220">
        <f>IF('PTP_ENG-22'!F45&lt;&gt;"",'PTP_ENG-22'!F51,"-")</f>
        <v>1</v>
      </c>
      <c r="AG24" s="220">
        <f>IF('PTP_ENG-22'!F46&lt;&gt;"",'PTP_ENG-22'!F52,"-")</f>
        <v>1</v>
      </c>
    </row>
    <row r="25" spans="1:33" ht="19.2" customHeight="1" x14ac:dyDescent="0.3">
      <c r="A25" s="79"/>
    </row>
    <row r="26" spans="1:33" ht="19.2" customHeight="1" x14ac:dyDescent="0.3">
      <c r="A26" s="78"/>
    </row>
    <row r="27" spans="1:33" ht="19.2" customHeight="1" x14ac:dyDescent="0.3">
      <c r="A27" s="78"/>
    </row>
    <row r="28" spans="1:33" ht="19.2" customHeight="1" x14ac:dyDescent="0.3">
      <c r="A28" s="79"/>
    </row>
    <row r="29" spans="1:33" ht="19.2" customHeight="1" x14ac:dyDescent="0.3">
      <c r="A29" s="78"/>
    </row>
    <row r="30" spans="1:33" ht="19.2" customHeight="1" x14ac:dyDescent="0.3">
      <c r="A30" s="78"/>
    </row>
    <row r="31" spans="1:33" ht="19.2" customHeight="1" x14ac:dyDescent="0.3">
      <c r="A31" s="79"/>
    </row>
    <row r="32" spans="1:33" ht="19.2" customHeight="1" x14ac:dyDescent="0.3">
      <c r="A32" s="78"/>
    </row>
    <row r="33" spans="1:1" ht="19.2" customHeight="1" x14ac:dyDescent="0.3">
      <c r="A33" s="78"/>
    </row>
    <row r="34" spans="1:1" ht="19.2" customHeight="1" x14ac:dyDescent="0.3">
      <c r="A34" s="79"/>
    </row>
  </sheetData>
  <sheetProtection formatCells="0" formatColumns="0" formatRows="0" sort="0" autoFilter="0" pivotTables="0"/>
  <autoFilter ref="A1:AG24">
    <sortState ref="A2:AG24">
      <sortCondition descending="1" ref="V1:V24"/>
    </sortState>
  </autoFilter>
  <hyperlinks>
    <hyperlink ref="B5" location="'PTP_ENG-1'!A1" display="'PTP_ENG-1'!A1"/>
    <hyperlink ref="B7" location="'PTP_ENG-2'!A1" display="'PTP_ENG-2'!A1"/>
    <hyperlink ref="B2" location="'PTP_ENG-3'!A1" display="'PTP_ENG-3'!A1"/>
    <hyperlink ref="B9" location="'PTP_ENG-4'!A1" display="'PTP_ENG-4'!A1"/>
    <hyperlink ref="B8" location="'PTP_ENG-5'!A1" display="'PTP_ENG-5'!A1"/>
    <hyperlink ref="B13" location="'PTP_ENG-6'!A1" display="'PTP_ENG-6'!A1"/>
    <hyperlink ref="B10" location="'PTP_ENG-7'!A1" display="'PTP_ENG-7'!A1"/>
    <hyperlink ref="B3" location="'PTP_ENG-8'!A1" display="'PTP_ENG-8'!A1"/>
    <hyperlink ref="B22" location="'PTP_ENG-9'!A1" display="'PTP_ENG-9'!A1"/>
    <hyperlink ref="B11" location="'PTP_ENG-10'!A1" display="'PTP_ENG-10'!A1"/>
    <hyperlink ref="B20" location="'PTP_ENG-11'!A1" display="'PTP_ENG-11'!A1"/>
    <hyperlink ref="B12" location="'PTP_ENG-12'!A1" display="'PTP_ENG-12'!A1"/>
    <hyperlink ref="B18" location="'PTP_ENG-13'!A1" display="'PTP_ENG-13'!A1"/>
    <hyperlink ref="B23" location="'PTP_ENG-14'!A1" display="'PTP_ENG-14'!A1"/>
    <hyperlink ref="B6" location="'PTP_ENG-15'!A1" display="'PTP_ENG-15'!A1"/>
    <hyperlink ref="B14" location="'PTP_ENG-16'!A1" display="'PTP_ENG-16'!A1"/>
    <hyperlink ref="B4" location="'PTP_ENG-17'!A1" display="'PTP_ENG-17'!A1"/>
    <hyperlink ref="B21" location="'PTP_ENG-18'!A1" display="'PTP_ENG-18'!A1"/>
    <hyperlink ref="B15" location="'PTP_ENG-19'!A1" display="'PTP_ENG-19'!A1"/>
    <hyperlink ref="B17" location="'PTP_ENG-20'!A1" display="'PTP_ENG-20'!A1"/>
    <hyperlink ref="B16" location="'PTP_ENG-21'!A1" display="'PTP_ENG-21'!A1"/>
    <hyperlink ref="B24" location="'PTP_ENG-22'!A1" display="'PTP_ENG-22'!A1"/>
    <hyperlink ref="B19" location="'PTP_ENG-23'!A1" display="'PTP_ENG-23'!A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V99"/>
  <sheetViews>
    <sheetView topLeftCell="A22" zoomScale="110" zoomScaleNormal="110" workbookViewId="0">
      <selection activeCell="E27" sqref="E27:E5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207</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230</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41.4" x14ac:dyDescent="0.3">
      <c r="A7" s="16"/>
      <c r="B7" s="39" t="s">
        <v>21</v>
      </c>
      <c r="C7" s="168" t="s">
        <v>254</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4" t="s">
        <v>252</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4" t="s">
        <v>253</v>
      </c>
      <c r="C17" s="245"/>
      <c r="D17" s="245"/>
      <c r="E17" s="246"/>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251</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8">
        <v>1</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97">
        <f t="shared" si="0"/>
        <v>2</v>
      </c>
      <c r="H37" s="98">
        <v>1</v>
      </c>
      <c r="I37" s="250"/>
      <c r="J37" s="251"/>
      <c r="K37" s="1"/>
      <c r="L37" s="1"/>
      <c r="M37" s="1"/>
      <c r="N37" s="1"/>
      <c r="O37" s="10"/>
    </row>
    <row r="38" spans="1:22" ht="31.8" customHeight="1" x14ac:dyDescent="0.3">
      <c r="A38" s="1"/>
      <c r="B38" s="48" t="s">
        <v>71</v>
      </c>
      <c r="C38" s="64" t="s">
        <v>39</v>
      </c>
      <c r="D38" s="60" t="s">
        <v>117</v>
      </c>
      <c r="E38" s="120">
        <v>3</v>
      </c>
      <c r="F38" s="98">
        <v>2</v>
      </c>
      <c r="G38" s="97">
        <f t="shared" si="0"/>
        <v>1</v>
      </c>
      <c r="H38" s="98">
        <v>2</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97">
        <f t="shared" si="0"/>
        <v>2</v>
      </c>
      <c r="H41" s="100">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8">
        <v>1</v>
      </c>
      <c r="I43" s="250"/>
      <c r="J43" s="251"/>
      <c r="K43" s="1"/>
      <c r="L43" s="1"/>
      <c r="M43" s="1"/>
      <c r="N43" s="1"/>
      <c r="O43" s="10"/>
    </row>
    <row r="44" spans="1:22" ht="31.8" customHeight="1" x14ac:dyDescent="0.3">
      <c r="A44" s="1"/>
      <c r="B44" s="48" t="s">
        <v>71</v>
      </c>
      <c r="C44" s="64" t="s">
        <v>50</v>
      </c>
      <c r="D44" s="60" t="s">
        <v>51</v>
      </c>
      <c r="E44" s="119">
        <v>2</v>
      </c>
      <c r="F44" s="100">
        <v>2</v>
      </c>
      <c r="G44" s="97">
        <f t="shared" si="0"/>
        <v>0</v>
      </c>
      <c r="H44" s="100">
        <v>2</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8">
        <v>1</v>
      </c>
      <c r="I45" s="250"/>
      <c r="J45" s="251"/>
      <c r="K45" s="1"/>
      <c r="L45" s="1"/>
      <c r="M45" s="1"/>
      <c r="N45" s="1"/>
      <c r="O45" s="10"/>
    </row>
    <row r="46" spans="1:22" ht="31.8" customHeight="1" x14ac:dyDescent="0.3">
      <c r="A46" s="1"/>
      <c r="B46" s="48" t="s">
        <v>71</v>
      </c>
      <c r="C46" s="64" t="s">
        <v>50</v>
      </c>
      <c r="D46" s="60" t="s">
        <v>55</v>
      </c>
      <c r="E46" s="119">
        <v>3</v>
      </c>
      <c r="F46" s="98">
        <v>2</v>
      </c>
      <c r="G46" s="97">
        <f t="shared" si="0"/>
        <v>1</v>
      </c>
      <c r="H46" s="98">
        <v>2</v>
      </c>
      <c r="I46" s="250"/>
      <c r="J46" s="251"/>
      <c r="K46" s="1"/>
      <c r="L46" s="1"/>
      <c r="M46" s="1"/>
      <c r="N46" s="1"/>
      <c r="O46" s="10"/>
    </row>
    <row r="47" spans="1:22" ht="31.8" customHeight="1" x14ac:dyDescent="0.3">
      <c r="A47" s="1"/>
      <c r="B47" s="48" t="s">
        <v>71</v>
      </c>
      <c r="C47" s="64" t="s">
        <v>57</v>
      </c>
      <c r="D47" s="62" t="s">
        <v>58</v>
      </c>
      <c r="E47" s="119">
        <v>2</v>
      </c>
      <c r="F47" s="100">
        <v>1</v>
      </c>
      <c r="G47" s="97">
        <f t="shared" si="0"/>
        <v>1</v>
      </c>
      <c r="H47" s="100">
        <v>1</v>
      </c>
      <c r="I47" s="250"/>
      <c r="J47" s="251"/>
      <c r="K47" s="1"/>
      <c r="L47" s="1"/>
      <c r="M47" s="1"/>
      <c r="N47" s="1"/>
      <c r="O47" s="10"/>
    </row>
    <row r="48" spans="1:22" ht="31.8" customHeight="1" x14ac:dyDescent="0.3">
      <c r="A48" s="1"/>
      <c r="B48" s="64" t="s">
        <v>31</v>
      </c>
      <c r="C48" s="64" t="s">
        <v>70</v>
      </c>
      <c r="D48" s="55" t="s">
        <v>60</v>
      </c>
      <c r="E48" s="119">
        <v>2</v>
      </c>
      <c r="F48" s="98">
        <v>1</v>
      </c>
      <c r="G48" s="97">
        <f t="shared" si="0"/>
        <v>1</v>
      </c>
      <c r="H48" s="98">
        <v>1</v>
      </c>
      <c r="I48" s="250"/>
      <c r="J48" s="251"/>
      <c r="K48" s="1"/>
      <c r="L48" s="1"/>
      <c r="M48" s="1"/>
      <c r="N48" s="1"/>
      <c r="O48" s="10"/>
    </row>
    <row r="49" spans="1:15" ht="31.8" customHeight="1" x14ac:dyDescent="0.3">
      <c r="A49" s="1"/>
      <c r="B49" s="64" t="s">
        <v>31</v>
      </c>
      <c r="C49" s="64" t="s">
        <v>70</v>
      </c>
      <c r="D49" s="55" t="s">
        <v>62</v>
      </c>
      <c r="E49" s="119">
        <v>2</v>
      </c>
      <c r="F49" s="98">
        <v>2</v>
      </c>
      <c r="G49" s="97">
        <f t="shared" si="0"/>
        <v>0</v>
      </c>
      <c r="H49" s="98">
        <v>2</v>
      </c>
      <c r="I49" s="250"/>
      <c r="J49" s="251"/>
      <c r="K49" s="1"/>
      <c r="L49" s="1"/>
      <c r="M49" s="1"/>
      <c r="N49" s="1"/>
      <c r="O49" s="10"/>
    </row>
    <row r="50" spans="1:15" ht="31.8" customHeight="1" x14ac:dyDescent="0.3">
      <c r="A50" s="1"/>
      <c r="B50" s="64" t="s">
        <v>31</v>
      </c>
      <c r="C50" s="64" t="s">
        <v>70</v>
      </c>
      <c r="D50" s="55" t="s">
        <v>64</v>
      </c>
      <c r="E50" s="119">
        <v>2</v>
      </c>
      <c r="F50" s="98">
        <v>3</v>
      </c>
      <c r="G50" s="97">
        <f t="shared" si="0"/>
        <v>-1</v>
      </c>
      <c r="H50" s="98">
        <v>3</v>
      </c>
      <c r="I50" s="250"/>
      <c r="J50" s="251"/>
      <c r="K50" s="1"/>
      <c r="L50" s="1"/>
      <c r="M50" s="1"/>
      <c r="N50" s="1"/>
      <c r="O50" s="10"/>
    </row>
    <row r="51" spans="1:15" ht="31.8" customHeight="1" x14ac:dyDescent="0.3">
      <c r="A51" s="1"/>
      <c r="B51" s="64" t="s">
        <v>31</v>
      </c>
      <c r="C51" s="64" t="s">
        <v>70</v>
      </c>
      <c r="D51" s="55" t="s">
        <v>66</v>
      </c>
      <c r="E51" s="119">
        <v>3</v>
      </c>
      <c r="F51" s="98">
        <v>2</v>
      </c>
      <c r="G51" s="97">
        <f t="shared" si="0"/>
        <v>1</v>
      </c>
      <c r="H51" s="98">
        <v>2</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3">
        <v>1</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1.2692307692307692</v>
      </c>
      <c r="G53" s="132"/>
      <c r="H53" s="130">
        <f>AVERAGE(H27:H52)</f>
        <v>1.2692307692307692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V99"/>
  <sheetViews>
    <sheetView topLeftCell="A31" zoomScale="110" zoomScaleNormal="110" workbookViewId="0">
      <selection activeCell="F29" sqref="F29"/>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206</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229</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297</v>
      </c>
      <c r="D7" s="16"/>
      <c r="E7" s="39" t="s">
        <v>20</v>
      </c>
      <c r="F7" s="168" t="s">
        <v>298</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0</v>
      </c>
      <c r="D9" s="16"/>
      <c r="E9" s="39" t="s">
        <v>122</v>
      </c>
      <c r="F9" s="74" t="s">
        <v>299</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296</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0</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6</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2</v>
      </c>
      <c r="F27" s="42">
        <v>2</v>
      </c>
      <c r="G27" s="97">
        <f>($E27-$F27)</f>
        <v>0</v>
      </c>
      <c r="H27" s="42">
        <v>2</v>
      </c>
      <c r="I27" s="262"/>
      <c r="J27" s="263"/>
      <c r="K27" s="1"/>
      <c r="L27" s="1"/>
      <c r="M27" s="1"/>
      <c r="N27" s="1"/>
      <c r="O27" s="10"/>
    </row>
    <row r="28" spans="1:15" ht="31.8" customHeight="1" x14ac:dyDescent="0.3">
      <c r="A28" s="1"/>
      <c r="B28" s="48" t="s">
        <v>71</v>
      </c>
      <c r="C28" s="64" t="s">
        <v>32</v>
      </c>
      <c r="D28" s="60" t="s">
        <v>107</v>
      </c>
      <c r="E28" s="119">
        <v>1</v>
      </c>
      <c r="F28" s="42">
        <v>2</v>
      </c>
      <c r="G28" s="97">
        <f t="shared" ref="G28:G52" si="0">($E28-$F28)</f>
        <v>-1</v>
      </c>
      <c r="H28" s="42">
        <v>2</v>
      </c>
      <c r="I28" s="250"/>
      <c r="J28" s="251"/>
      <c r="K28" s="1"/>
      <c r="L28" s="1"/>
      <c r="M28" s="1"/>
      <c r="N28" s="1"/>
      <c r="O28" s="10"/>
    </row>
    <row r="29" spans="1:15" ht="31.8" customHeight="1" x14ac:dyDescent="0.3">
      <c r="A29" s="1"/>
      <c r="B29" s="48" t="s">
        <v>71</v>
      </c>
      <c r="C29" s="64" t="s">
        <v>32</v>
      </c>
      <c r="D29" s="60" t="s">
        <v>108</v>
      </c>
      <c r="E29" s="119">
        <v>2</v>
      </c>
      <c r="F29" s="42">
        <v>2</v>
      </c>
      <c r="G29" s="97">
        <f t="shared" si="0"/>
        <v>0</v>
      </c>
      <c r="H29" s="42">
        <v>2</v>
      </c>
      <c r="I29" s="250"/>
      <c r="J29" s="251"/>
      <c r="K29" s="1"/>
      <c r="L29" s="1"/>
      <c r="M29" s="1"/>
      <c r="N29" s="1"/>
      <c r="O29" s="10"/>
    </row>
    <row r="30" spans="1:15" ht="31.8" customHeight="1" x14ac:dyDescent="0.3">
      <c r="A30" s="1"/>
      <c r="B30" s="48" t="s">
        <v>71</v>
      </c>
      <c r="C30" s="64" t="s">
        <v>32</v>
      </c>
      <c r="D30" s="60" t="s">
        <v>109</v>
      </c>
      <c r="E30" s="119">
        <v>2</v>
      </c>
      <c r="F30" s="42">
        <v>2</v>
      </c>
      <c r="G30" s="97">
        <f t="shared" si="0"/>
        <v>0</v>
      </c>
      <c r="H30" s="42">
        <v>2</v>
      </c>
      <c r="I30" s="250"/>
      <c r="J30" s="251"/>
      <c r="K30" s="1"/>
      <c r="L30" s="1"/>
      <c r="M30" s="1"/>
      <c r="N30" s="1"/>
      <c r="O30" s="10"/>
    </row>
    <row r="31" spans="1:15" ht="31.8" customHeight="1" x14ac:dyDescent="0.3">
      <c r="A31" s="1"/>
      <c r="B31" s="48" t="s">
        <v>71</v>
      </c>
      <c r="C31" s="64" t="s">
        <v>33</v>
      </c>
      <c r="D31" s="60" t="s">
        <v>110</v>
      </c>
      <c r="E31" s="119">
        <v>2</v>
      </c>
      <c r="F31" s="42">
        <v>1</v>
      </c>
      <c r="G31" s="97">
        <f t="shared" si="0"/>
        <v>1</v>
      </c>
      <c r="H31" s="42">
        <v>1</v>
      </c>
      <c r="I31" s="250"/>
      <c r="J31" s="251"/>
      <c r="K31" s="1"/>
      <c r="L31" s="1"/>
      <c r="M31" s="1"/>
      <c r="N31" s="1"/>
      <c r="O31" s="10"/>
    </row>
    <row r="32" spans="1:15" ht="31.8" customHeight="1" x14ac:dyDescent="0.3">
      <c r="A32" s="1"/>
      <c r="B32" s="48" t="s">
        <v>71</v>
      </c>
      <c r="C32" s="64" t="s">
        <v>33</v>
      </c>
      <c r="D32" s="60" t="s">
        <v>111</v>
      </c>
      <c r="E32" s="119">
        <v>2</v>
      </c>
      <c r="F32" s="42">
        <v>1</v>
      </c>
      <c r="G32" s="97">
        <f t="shared" si="0"/>
        <v>1</v>
      </c>
      <c r="H32" s="42">
        <v>1</v>
      </c>
      <c r="I32" s="250"/>
      <c r="J32" s="251"/>
      <c r="K32" s="1"/>
      <c r="L32" s="1"/>
      <c r="M32" s="1"/>
      <c r="N32" s="1"/>
      <c r="O32" s="10"/>
    </row>
    <row r="33" spans="1:22" ht="31.8" customHeight="1" x14ac:dyDescent="0.3">
      <c r="A33" s="1"/>
      <c r="B33" s="48" t="s">
        <v>71</v>
      </c>
      <c r="C33" s="64" t="s">
        <v>33</v>
      </c>
      <c r="D33" s="60" t="s">
        <v>112</v>
      </c>
      <c r="E33" s="119">
        <v>1</v>
      </c>
      <c r="F33" s="42">
        <v>1</v>
      </c>
      <c r="G33" s="97">
        <f t="shared" si="0"/>
        <v>0</v>
      </c>
      <c r="H33" s="42">
        <v>1</v>
      </c>
      <c r="I33" s="250"/>
      <c r="J33" s="251"/>
      <c r="K33" s="1"/>
      <c r="L33" s="1"/>
      <c r="M33" s="1"/>
      <c r="N33" s="1"/>
      <c r="O33" s="10"/>
    </row>
    <row r="34" spans="1:22" ht="31.8" customHeight="1" x14ac:dyDescent="0.3">
      <c r="A34" s="1"/>
      <c r="B34" s="48" t="s">
        <v>71</v>
      </c>
      <c r="C34" s="64" t="s">
        <v>33</v>
      </c>
      <c r="D34" s="60" t="s">
        <v>113</v>
      </c>
      <c r="E34" s="119">
        <v>2</v>
      </c>
      <c r="F34" s="42">
        <v>1</v>
      </c>
      <c r="G34" s="97">
        <f t="shared" si="0"/>
        <v>1</v>
      </c>
      <c r="H34" s="42">
        <v>1</v>
      </c>
      <c r="I34" s="250"/>
      <c r="J34" s="251"/>
      <c r="K34" s="1"/>
      <c r="L34" s="1"/>
      <c r="M34" s="1"/>
      <c r="N34" s="1"/>
      <c r="O34" s="10"/>
    </row>
    <row r="35" spans="1:22" ht="31.8" customHeight="1" x14ac:dyDescent="0.3">
      <c r="A35" s="1"/>
      <c r="B35" s="48" t="s">
        <v>71</v>
      </c>
      <c r="C35" s="64" t="s">
        <v>38</v>
      </c>
      <c r="D35" s="60" t="s">
        <v>114</v>
      </c>
      <c r="E35" s="119">
        <v>2</v>
      </c>
      <c r="F35" s="42">
        <v>1</v>
      </c>
      <c r="G35" s="97">
        <f t="shared" si="0"/>
        <v>1</v>
      </c>
      <c r="H35" s="42">
        <v>1</v>
      </c>
      <c r="I35" s="250"/>
      <c r="J35" s="251"/>
      <c r="K35" s="1"/>
      <c r="L35" s="1"/>
      <c r="M35" s="1"/>
      <c r="N35" s="1"/>
      <c r="O35" s="10"/>
    </row>
    <row r="36" spans="1:22" ht="31.8" customHeight="1" x14ac:dyDescent="0.3">
      <c r="A36" s="1"/>
      <c r="B36" s="48" t="s">
        <v>71</v>
      </c>
      <c r="C36" s="64" t="s">
        <v>38</v>
      </c>
      <c r="D36" s="60" t="s">
        <v>115</v>
      </c>
      <c r="E36" s="119">
        <v>2</v>
      </c>
      <c r="F36" s="42">
        <v>1</v>
      </c>
      <c r="G36" s="97">
        <f t="shared" si="0"/>
        <v>1</v>
      </c>
      <c r="H36" s="42">
        <v>1</v>
      </c>
      <c r="I36" s="250"/>
      <c r="J36" s="251"/>
      <c r="K36" s="1"/>
      <c r="L36" s="1"/>
      <c r="M36" s="1"/>
      <c r="N36" s="1"/>
      <c r="O36" s="10"/>
    </row>
    <row r="37" spans="1:22" ht="31.8" customHeight="1" x14ac:dyDescent="0.3">
      <c r="A37" s="1"/>
      <c r="B37" s="48" t="s">
        <v>71</v>
      </c>
      <c r="C37" s="64" t="s">
        <v>39</v>
      </c>
      <c r="D37" s="60" t="s">
        <v>116</v>
      </c>
      <c r="E37" s="120">
        <v>2</v>
      </c>
      <c r="F37" s="42">
        <v>1</v>
      </c>
      <c r="G37" s="97">
        <f t="shared" si="0"/>
        <v>1</v>
      </c>
      <c r="H37" s="42">
        <v>1</v>
      </c>
      <c r="I37" s="250"/>
      <c r="J37" s="251"/>
      <c r="K37" s="1"/>
      <c r="L37" s="1"/>
      <c r="M37" s="1"/>
      <c r="N37" s="1"/>
      <c r="O37" s="10"/>
    </row>
    <row r="38" spans="1:22" ht="31.8" customHeight="1" x14ac:dyDescent="0.3">
      <c r="A38" s="1"/>
      <c r="B38" s="48" t="s">
        <v>71</v>
      </c>
      <c r="C38" s="64" t="s">
        <v>39</v>
      </c>
      <c r="D38" s="60" t="s">
        <v>117</v>
      </c>
      <c r="E38" s="120">
        <v>2</v>
      </c>
      <c r="F38" s="42">
        <v>1</v>
      </c>
      <c r="G38" s="97">
        <f t="shared" si="0"/>
        <v>1</v>
      </c>
      <c r="H38" s="42">
        <v>1</v>
      </c>
      <c r="I38" s="250"/>
      <c r="J38" s="251"/>
      <c r="K38" s="1"/>
      <c r="L38" s="1"/>
      <c r="M38" s="1"/>
      <c r="N38" s="1"/>
      <c r="O38" s="10"/>
    </row>
    <row r="39" spans="1:22" ht="31.8" customHeight="1" x14ac:dyDescent="0.3">
      <c r="A39" s="1"/>
      <c r="B39" s="48" t="s">
        <v>71</v>
      </c>
      <c r="C39" s="64" t="s">
        <v>42</v>
      </c>
      <c r="D39" s="60" t="s">
        <v>118</v>
      </c>
      <c r="E39" s="119">
        <v>1</v>
      </c>
      <c r="F39" s="42">
        <v>1</v>
      </c>
      <c r="G39" s="97">
        <f t="shared" si="0"/>
        <v>0</v>
      </c>
      <c r="H39" s="42">
        <v>1</v>
      </c>
      <c r="I39" s="250"/>
      <c r="J39" s="251"/>
      <c r="K39" s="1"/>
      <c r="L39" s="1"/>
      <c r="M39" s="1"/>
      <c r="N39" s="1"/>
      <c r="O39" s="10"/>
    </row>
    <row r="40" spans="1:22" ht="31.8" customHeight="1" x14ac:dyDescent="0.3">
      <c r="A40" s="1"/>
      <c r="B40" s="48" t="s">
        <v>71</v>
      </c>
      <c r="C40" s="64" t="s">
        <v>42</v>
      </c>
      <c r="D40" s="60" t="s">
        <v>119</v>
      </c>
      <c r="E40" s="119">
        <v>1</v>
      </c>
      <c r="F40" s="42">
        <v>1</v>
      </c>
      <c r="G40" s="97">
        <f t="shared" si="0"/>
        <v>0</v>
      </c>
      <c r="H40" s="42">
        <v>1</v>
      </c>
      <c r="I40" s="250"/>
      <c r="J40" s="251"/>
      <c r="K40" s="1"/>
      <c r="L40" s="1"/>
      <c r="M40" s="1"/>
      <c r="N40" s="1"/>
      <c r="O40" s="10"/>
    </row>
    <row r="41" spans="1:22" s="96" customFormat="1" ht="31.8" customHeight="1" x14ac:dyDescent="0.3">
      <c r="A41" s="1"/>
      <c r="B41" s="48" t="s">
        <v>71</v>
      </c>
      <c r="C41" s="64" t="s">
        <v>45</v>
      </c>
      <c r="D41" s="60" t="s">
        <v>120</v>
      </c>
      <c r="E41" s="121">
        <v>2</v>
      </c>
      <c r="F41" s="42">
        <v>1</v>
      </c>
      <c r="G41" s="97">
        <f t="shared" si="0"/>
        <v>1</v>
      </c>
      <c r="H41" s="42">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2</v>
      </c>
      <c r="F42" s="42">
        <v>1</v>
      </c>
      <c r="G42" s="97">
        <f>($E42-$F42)</f>
        <v>1</v>
      </c>
      <c r="H42" s="42">
        <v>1</v>
      </c>
      <c r="I42" s="250"/>
      <c r="J42" s="251"/>
      <c r="K42" s="1"/>
      <c r="L42" s="1"/>
      <c r="M42" s="1"/>
      <c r="N42" s="1"/>
      <c r="O42" s="10"/>
    </row>
    <row r="43" spans="1:22" ht="31.8" customHeight="1" x14ac:dyDescent="0.3">
      <c r="A43" s="1"/>
      <c r="B43" s="48" t="s">
        <v>71</v>
      </c>
      <c r="C43" s="64" t="s">
        <v>47</v>
      </c>
      <c r="D43" s="60" t="s">
        <v>121</v>
      </c>
      <c r="E43" s="119">
        <v>2</v>
      </c>
      <c r="F43" s="42">
        <v>1</v>
      </c>
      <c r="G43" s="97">
        <f t="shared" si="0"/>
        <v>1</v>
      </c>
      <c r="H43" s="42">
        <v>1</v>
      </c>
      <c r="I43" s="250"/>
      <c r="J43" s="251"/>
      <c r="K43" s="1"/>
      <c r="L43" s="1"/>
      <c r="M43" s="1"/>
      <c r="N43" s="1"/>
      <c r="O43" s="10"/>
    </row>
    <row r="44" spans="1:22" ht="31.8" customHeight="1" x14ac:dyDescent="0.3">
      <c r="A44" s="1"/>
      <c r="B44" s="48" t="s">
        <v>71</v>
      </c>
      <c r="C44" s="64" t="s">
        <v>50</v>
      </c>
      <c r="D44" s="60" t="s">
        <v>51</v>
      </c>
      <c r="E44" s="119">
        <v>1</v>
      </c>
      <c r="F44" s="42">
        <v>1</v>
      </c>
      <c r="G44" s="97">
        <f t="shared" si="0"/>
        <v>0</v>
      </c>
      <c r="H44" s="42">
        <v>1</v>
      </c>
      <c r="I44" s="250"/>
      <c r="J44" s="251"/>
      <c r="K44" s="1"/>
      <c r="L44" s="1"/>
      <c r="M44" s="1"/>
      <c r="N44" s="1"/>
      <c r="O44" s="10"/>
    </row>
    <row r="45" spans="1:22" ht="31.8" customHeight="1" x14ac:dyDescent="0.3">
      <c r="A45" s="1"/>
      <c r="B45" s="48" t="s">
        <v>71</v>
      </c>
      <c r="C45" s="64" t="s">
        <v>50</v>
      </c>
      <c r="D45" s="60" t="s">
        <v>53</v>
      </c>
      <c r="E45" s="119">
        <v>1</v>
      </c>
      <c r="F45" s="42">
        <v>1</v>
      </c>
      <c r="G45" s="97">
        <f t="shared" si="0"/>
        <v>0</v>
      </c>
      <c r="H45" s="42">
        <v>1</v>
      </c>
      <c r="I45" s="250"/>
      <c r="J45" s="251"/>
      <c r="K45" s="1"/>
      <c r="L45" s="1"/>
      <c r="M45" s="1"/>
      <c r="N45" s="1"/>
      <c r="O45" s="10"/>
    </row>
    <row r="46" spans="1:22" ht="31.8" customHeight="1" x14ac:dyDescent="0.3">
      <c r="A46" s="1"/>
      <c r="B46" s="48" t="s">
        <v>71</v>
      </c>
      <c r="C46" s="64" t="s">
        <v>50</v>
      </c>
      <c r="D46" s="60" t="s">
        <v>55</v>
      </c>
      <c r="E46" s="119">
        <v>2</v>
      </c>
      <c r="F46" s="42">
        <v>1</v>
      </c>
      <c r="G46" s="97">
        <f t="shared" si="0"/>
        <v>1</v>
      </c>
      <c r="H46" s="42">
        <v>1</v>
      </c>
      <c r="I46" s="250"/>
      <c r="J46" s="251"/>
      <c r="K46" s="1"/>
      <c r="L46" s="1"/>
      <c r="M46" s="1"/>
      <c r="N46" s="1"/>
      <c r="O46" s="10"/>
    </row>
    <row r="47" spans="1:22" ht="31.8" customHeight="1" x14ac:dyDescent="0.3">
      <c r="A47" s="1"/>
      <c r="B47" s="48" t="s">
        <v>71</v>
      </c>
      <c r="C47" s="64" t="s">
        <v>57</v>
      </c>
      <c r="D47" s="62" t="s">
        <v>58</v>
      </c>
      <c r="E47" s="119">
        <v>1</v>
      </c>
      <c r="F47" s="42">
        <v>1</v>
      </c>
      <c r="G47" s="97">
        <f t="shared" si="0"/>
        <v>0</v>
      </c>
      <c r="H47" s="42">
        <v>1</v>
      </c>
      <c r="I47" s="250"/>
      <c r="J47" s="251"/>
      <c r="K47" s="1"/>
      <c r="L47" s="1"/>
      <c r="M47" s="1"/>
      <c r="N47" s="1"/>
      <c r="O47" s="10"/>
    </row>
    <row r="48" spans="1:22" ht="31.8" customHeight="1" x14ac:dyDescent="0.3">
      <c r="A48" s="1"/>
      <c r="B48" s="64" t="s">
        <v>31</v>
      </c>
      <c r="C48" s="64" t="s">
        <v>70</v>
      </c>
      <c r="D48" s="55" t="s">
        <v>60</v>
      </c>
      <c r="E48" s="119">
        <v>1</v>
      </c>
      <c r="F48" s="42">
        <v>1</v>
      </c>
      <c r="G48" s="97">
        <f t="shared" si="0"/>
        <v>0</v>
      </c>
      <c r="H48" s="42">
        <v>1</v>
      </c>
      <c r="I48" s="250"/>
      <c r="J48" s="251"/>
      <c r="K48" s="1"/>
      <c r="L48" s="1"/>
      <c r="M48" s="1"/>
      <c r="N48" s="1"/>
      <c r="O48" s="10"/>
    </row>
    <row r="49" spans="1:15" ht="31.8" customHeight="1" x14ac:dyDescent="0.3">
      <c r="A49" s="1"/>
      <c r="B49" s="64" t="s">
        <v>31</v>
      </c>
      <c r="C49" s="64" t="s">
        <v>70</v>
      </c>
      <c r="D49" s="55" t="s">
        <v>62</v>
      </c>
      <c r="E49" s="119">
        <v>1</v>
      </c>
      <c r="F49" s="42">
        <v>1</v>
      </c>
      <c r="G49" s="97">
        <f t="shared" si="0"/>
        <v>0</v>
      </c>
      <c r="H49" s="42">
        <v>1</v>
      </c>
      <c r="I49" s="250"/>
      <c r="J49" s="251"/>
      <c r="K49" s="1"/>
      <c r="L49" s="1"/>
      <c r="M49" s="1"/>
      <c r="N49" s="1"/>
      <c r="O49" s="10"/>
    </row>
    <row r="50" spans="1:15" ht="31.8" customHeight="1" x14ac:dyDescent="0.3">
      <c r="A50" s="1"/>
      <c r="B50" s="64" t="s">
        <v>31</v>
      </c>
      <c r="C50" s="64" t="s">
        <v>70</v>
      </c>
      <c r="D50" s="55" t="s">
        <v>64</v>
      </c>
      <c r="E50" s="119">
        <v>1</v>
      </c>
      <c r="F50" s="42">
        <v>1</v>
      </c>
      <c r="G50" s="97">
        <f t="shared" si="0"/>
        <v>0</v>
      </c>
      <c r="H50" s="42">
        <v>1</v>
      </c>
      <c r="I50" s="250"/>
      <c r="J50" s="251"/>
      <c r="K50" s="1"/>
      <c r="L50" s="1"/>
      <c r="M50" s="1"/>
      <c r="N50" s="1"/>
      <c r="O50" s="10"/>
    </row>
    <row r="51" spans="1:15" ht="31.8" customHeight="1" x14ac:dyDescent="0.3">
      <c r="A51" s="1"/>
      <c r="B51" s="64" t="s">
        <v>31</v>
      </c>
      <c r="C51" s="64" t="s">
        <v>70</v>
      </c>
      <c r="D51" s="55" t="s">
        <v>66</v>
      </c>
      <c r="E51" s="119">
        <v>1</v>
      </c>
      <c r="F51" s="42">
        <v>1</v>
      </c>
      <c r="G51" s="97">
        <f t="shared" si="0"/>
        <v>0</v>
      </c>
      <c r="H51" s="42">
        <v>1</v>
      </c>
      <c r="I51" s="250"/>
      <c r="J51" s="251"/>
      <c r="K51" s="1"/>
      <c r="L51" s="1"/>
      <c r="M51" s="1"/>
      <c r="N51" s="1"/>
      <c r="O51" s="10"/>
    </row>
    <row r="52" spans="1:15" ht="31.8" customHeight="1" thickBot="1" x14ac:dyDescent="0.35">
      <c r="A52" s="1"/>
      <c r="B52" s="64" t="s">
        <v>31</v>
      </c>
      <c r="C52" s="64" t="s">
        <v>70</v>
      </c>
      <c r="D52" s="55" t="s">
        <v>68</v>
      </c>
      <c r="E52" s="122">
        <v>1</v>
      </c>
      <c r="F52" s="42">
        <v>1</v>
      </c>
      <c r="G52" s="124">
        <f t="shared" si="0"/>
        <v>0</v>
      </c>
      <c r="H52" s="42">
        <v>1</v>
      </c>
      <c r="I52" s="268"/>
      <c r="J52" s="269"/>
      <c r="K52" s="1"/>
      <c r="L52" s="1"/>
      <c r="M52" s="1"/>
      <c r="N52" s="1"/>
      <c r="O52" s="10"/>
    </row>
    <row r="53" spans="1:15" ht="31.8" customHeight="1" thickBot="1" x14ac:dyDescent="0.35">
      <c r="A53" s="1"/>
      <c r="B53" s="264" t="s">
        <v>177</v>
      </c>
      <c r="C53" s="265"/>
      <c r="D53" s="265"/>
      <c r="E53" s="130">
        <f>AVERAGE(E27:E52)</f>
        <v>1.5384615384615385</v>
      </c>
      <c r="F53" s="131">
        <f>AVERAGE(F27:F52)</f>
        <v>1.1538461538461537</v>
      </c>
      <c r="G53" s="132"/>
      <c r="H53" s="130">
        <f>AVERAGE(H27:H52)</f>
        <v>1.1538461538461537</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V99"/>
  <sheetViews>
    <sheetView topLeftCell="A28" zoomScale="110" zoomScaleNormal="110" workbookViewId="0">
      <selection activeCell="F20" sqref="F20:J20"/>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205</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228</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281</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44" t="s">
        <v>282</v>
      </c>
      <c r="C23" s="245"/>
      <c r="D23" s="245"/>
      <c r="E23" s="246"/>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9">
        <v>2</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9">
        <v>2</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9">
        <v>2</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9">
        <v>2</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9">
        <v>2</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9">
        <v>2</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9">
        <v>2</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9">
        <v>2</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9">
        <v>2</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9">
        <v>2</v>
      </c>
      <c r="I36" s="250"/>
      <c r="J36" s="251"/>
      <c r="K36" s="1"/>
      <c r="L36" s="1"/>
      <c r="M36" s="1"/>
      <c r="N36" s="1"/>
      <c r="O36" s="10"/>
    </row>
    <row r="37" spans="1:22" ht="31.8" customHeight="1" x14ac:dyDescent="0.3">
      <c r="A37" s="1"/>
      <c r="B37" s="48" t="s">
        <v>71</v>
      </c>
      <c r="C37" s="64" t="s">
        <v>39</v>
      </c>
      <c r="D37" s="60" t="s">
        <v>116</v>
      </c>
      <c r="E37" s="120">
        <v>3</v>
      </c>
      <c r="F37" s="98">
        <v>2</v>
      </c>
      <c r="G37" s="97">
        <f t="shared" si="0"/>
        <v>1</v>
      </c>
      <c r="H37" s="99">
        <v>2</v>
      </c>
      <c r="I37" s="250"/>
      <c r="J37" s="251"/>
      <c r="K37" s="1"/>
      <c r="L37" s="1"/>
      <c r="M37" s="1"/>
      <c r="N37" s="1"/>
      <c r="O37" s="10"/>
    </row>
    <row r="38" spans="1:22" ht="31.8" customHeight="1" x14ac:dyDescent="0.3">
      <c r="A38" s="1"/>
      <c r="B38" s="48" t="s">
        <v>71</v>
      </c>
      <c r="C38" s="64" t="s">
        <v>39</v>
      </c>
      <c r="D38" s="60" t="s">
        <v>117</v>
      </c>
      <c r="E38" s="120">
        <v>3</v>
      </c>
      <c r="F38" s="98">
        <v>2</v>
      </c>
      <c r="G38" s="97">
        <f t="shared" si="0"/>
        <v>1</v>
      </c>
      <c r="H38" s="99">
        <v>2</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9">
        <v>2</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9">
        <v>2</v>
      </c>
      <c r="I40" s="250"/>
      <c r="J40" s="251"/>
      <c r="K40" s="1"/>
      <c r="L40" s="1"/>
      <c r="M40" s="1"/>
      <c r="N40" s="1"/>
      <c r="O40" s="10"/>
    </row>
    <row r="41" spans="1:22" s="96" customFormat="1" ht="31.8" customHeight="1" x14ac:dyDescent="0.3">
      <c r="A41" s="1"/>
      <c r="B41" s="48" t="s">
        <v>71</v>
      </c>
      <c r="C41" s="64" t="s">
        <v>45</v>
      </c>
      <c r="D41" s="60" t="s">
        <v>120</v>
      </c>
      <c r="E41" s="121">
        <v>3</v>
      </c>
      <c r="F41" s="100">
        <v>2</v>
      </c>
      <c r="G41" s="97">
        <f t="shared" si="0"/>
        <v>1</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9">
        <v>2</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9">
        <v>2</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99">
        <v>2</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9">
        <v>2</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9">
        <v>2</v>
      </c>
      <c r="I46" s="250"/>
      <c r="J46" s="251"/>
      <c r="K46" s="1"/>
      <c r="L46" s="1"/>
      <c r="M46" s="1"/>
      <c r="N46" s="1"/>
      <c r="O46" s="10"/>
    </row>
    <row r="47" spans="1:22" ht="31.8" customHeight="1" x14ac:dyDescent="0.3">
      <c r="A47" s="1"/>
      <c r="B47" s="48" t="s">
        <v>71</v>
      </c>
      <c r="C47" s="64" t="s">
        <v>57</v>
      </c>
      <c r="D47" s="62" t="s">
        <v>58</v>
      </c>
      <c r="E47" s="119">
        <v>2</v>
      </c>
      <c r="F47" s="100">
        <v>1</v>
      </c>
      <c r="G47" s="97">
        <f t="shared" si="0"/>
        <v>1</v>
      </c>
      <c r="H47" s="99">
        <v>2</v>
      </c>
      <c r="I47" s="250"/>
      <c r="J47" s="251"/>
      <c r="K47" s="1"/>
      <c r="L47" s="1"/>
      <c r="M47" s="1"/>
      <c r="N47" s="1"/>
      <c r="O47" s="10"/>
    </row>
    <row r="48" spans="1:22" ht="31.8" customHeight="1" x14ac:dyDescent="0.3">
      <c r="A48" s="1"/>
      <c r="B48" s="64" t="s">
        <v>31</v>
      </c>
      <c r="C48" s="64" t="s">
        <v>70</v>
      </c>
      <c r="D48" s="55" t="s">
        <v>60</v>
      </c>
      <c r="E48" s="119">
        <v>2</v>
      </c>
      <c r="F48" s="98">
        <v>1</v>
      </c>
      <c r="G48" s="97">
        <f t="shared" si="0"/>
        <v>1</v>
      </c>
      <c r="H48" s="99">
        <v>2</v>
      </c>
      <c r="I48" s="250"/>
      <c r="J48" s="251"/>
      <c r="K48" s="1"/>
      <c r="L48" s="1"/>
      <c r="M48" s="1"/>
      <c r="N48" s="1"/>
      <c r="O48" s="10"/>
    </row>
    <row r="49" spans="1:15" ht="31.8" customHeight="1" x14ac:dyDescent="0.3">
      <c r="A49" s="1"/>
      <c r="B49" s="64" t="s">
        <v>31</v>
      </c>
      <c r="C49" s="64" t="s">
        <v>70</v>
      </c>
      <c r="D49" s="55" t="s">
        <v>62</v>
      </c>
      <c r="E49" s="119">
        <v>2</v>
      </c>
      <c r="F49" s="98">
        <v>1</v>
      </c>
      <c r="G49" s="97">
        <f t="shared" si="0"/>
        <v>1</v>
      </c>
      <c r="H49" s="99">
        <v>2</v>
      </c>
      <c r="I49" s="250"/>
      <c r="J49" s="251"/>
      <c r="K49" s="1"/>
      <c r="L49" s="1"/>
      <c r="M49" s="1"/>
      <c r="N49" s="1"/>
      <c r="O49" s="10"/>
    </row>
    <row r="50" spans="1:15" ht="31.8" customHeight="1" x14ac:dyDescent="0.3">
      <c r="A50" s="1"/>
      <c r="B50" s="64" t="s">
        <v>31</v>
      </c>
      <c r="C50" s="64" t="s">
        <v>70</v>
      </c>
      <c r="D50" s="55" t="s">
        <v>64</v>
      </c>
      <c r="E50" s="119">
        <v>2</v>
      </c>
      <c r="F50" s="98">
        <v>1</v>
      </c>
      <c r="G50" s="97">
        <f t="shared" si="0"/>
        <v>1</v>
      </c>
      <c r="H50" s="99">
        <v>2</v>
      </c>
      <c r="I50" s="250"/>
      <c r="J50" s="251"/>
      <c r="K50" s="1"/>
      <c r="L50" s="1"/>
      <c r="M50" s="1"/>
      <c r="N50" s="1"/>
      <c r="O50" s="10"/>
    </row>
    <row r="51" spans="1:15" ht="31.8" customHeight="1" x14ac:dyDescent="0.3">
      <c r="A51" s="1"/>
      <c r="B51" s="64" t="s">
        <v>31</v>
      </c>
      <c r="C51" s="64" t="s">
        <v>70</v>
      </c>
      <c r="D51" s="55" t="s">
        <v>66</v>
      </c>
      <c r="E51" s="119">
        <v>3</v>
      </c>
      <c r="F51" s="98">
        <v>2</v>
      </c>
      <c r="G51" s="97">
        <f t="shared" si="0"/>
        <v>1</v>
      </c>
      <c r="H51" s="99">
        <v>2</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5">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1.1538461538461537</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V99"/>
  <sheetViews>
    <sheetView zoomScaleNormal="100" workbookViewId="0">
      <selection activeCell="B17" sqref="B17:E18"/>
    </sheetView>
  </sheetViews>
  <sheetFormatPr defaultRowHeight="14.4" x14ac:dyDescent="0.3"/>
  <cols>
    <col min="1" max="1" width="5.21875" customWidth="1"/>
    <col min="2" max="2" width="17" customWidth="1"/>
    <col min="3" max="3" width="17.8867187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204</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227</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231</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196">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196">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196">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196">
        <f t="shared" si="0"/>
        <v>2</v>
      </c>
      <c r="H30" s="98">
        <v>1</v>
      </c>
      <c r="I30" s="250"/>
      <c r="J30" s="251"/>
      <c r="K30" s="1"/>
      <c r="L30" s="1"/>
      <c r="M30" s="1"/>
      <c r="N30" s="1"/>
      <c r="O30" s="10"/>
    </row>
    <row r="31" spans="1:15" ht="31.8" customHeight="1" x14ac:dyDescent="0.3">
      <c r="A31" s="1"/>
      <c r="B31" s="48" t="s">
        <v>71</v>
      </c>
      <c r="C31" s="64" t="s">
        <v>33</v>
      </c>
      <c r="D31" s="60" t="s">
        <v>110</v>
      </c>
      <c r="E31" s="119">
        <v>3</v>
      </c>
      <c r="F31" s="98">
        <v>1</v>
      </c>
      <c r="G31" s="196">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196">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196">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196">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196">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196">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196">
        <f t="shared" si="0"/>
        <v>2</v>
      </c>
      <c r="H37" s="98">
        <v>1</v>
      </c>
      <c r="I37" s="250"/>
      <c r="J37" s="251"/>
      <c r="K37" s="1"/>
      <c r="L37" s="1"/>
      <c r="M37" s="1"/>
      <c r="N37" s="1"/>
      <c r="O37" s="10"/>
    </row>
    <row r="38" spans="1:22" ht="31.8" customHeight="1" x14ac:dyDescent="0.3">
      <c r="A38" s="1"/>
      <c r="B38" s="48" t="s">
        <v>71</v>
      </c>
      <c r="C38" s="64" t="s">
        <v>39</v>
      </c>
      <c r="D38" s="60" t="s">
        <v>117</v>
      </c>
      <c r="E38" s="120">
        <v>3</v>
      </c>
      <c r="F38" s="98">
        <v>2</v>
      </c>
      <c r="G38" s="196">
        <f t="shared" si="0"/>
        <v>1</v>
      </c>
      <c r="H38" s="98">
        <v>2</v>
      </c>
      <c r="I38" s="250"/>
      <c r="J38" s="251"/>
      <c r="K38" s="1"/>
      <c r="L38" s="1"/>
      <c r="M38" s="1"/>
      <c r="N38" s="1"/>
      <c r="O38" s="10"/>
    </row>
    <row r="39" spans="1:22" ht="31.8" customHeight="1" x14ac:dyDescent="0.3">
      <c r="A39" s="1"/>
      <c r="B39" s="48" t="s">
        <v>71</v>
      </c>
      <c r="C39" s="64" t="s">
        <v>42</v>
      </c>
      <c r="D39" s="60" t="s">
        <v>118</v>
      </c>
      <c r="E39" s="119">
        <v>3</v>
      </c>
      <c r="F39" s="98">
        <v>1</v>
      </c>
      <c r="G39" s="196">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196">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196">
        <f t="shared" si="0"/>
        <v>2</v>
      </c>
      <c r="H41" s="100">
        <v>1</v>
      </c>
      <c r="I41" s="250"/>
      <c r="J41" s="251"/>
      <c r="K41" s="1"/>
      <c r="L41" s="1"/>
      <c r="M41" s="1"/>
      <c r="N41" s="1"/>
      <c r="O41" s="1"/>
      <c r="P41" s="95"/>
      <c r="Q41" s="95"/>
      <c r="R41" s="95"/>
      <c r="S41" s="95"/>
      <c r="T41" s="95"/>
      <c r="U41" s="95"/>
      <c r="V41" s="95"/>
    </row>
    <row r="42" spans="1:22" ht="31.8" customHeight="1" x14ac:dyDescent="0.3">
      <c r="A42" s="1"/>
      <c r="B42" s="172" t="s">
        <v>71</v>
      </c>
      <c r="C42" s="173" t="s">
        <v>47</v>
      </c>
      <c r="D42" s="174" t="s">
        <v>48</v>
      </c>
      <c r="E42" s="175">
        <v>3</v>
      </c>
      <c r="F42" s="176">
        <v>2</v>
      </c>
      <c r="G42" s="200">
        <f>($E42-$F42)</f>
        <v>1</v>
      </c>
      <c r="H42" s="201">
        <v>4</v>
      </c>
      <c r="I42" s="250"/>
      <c r="J42" s="251"/>
      <c r="K42" s="1"/>
      <c r="L42" s="1"/>
      <c r="M42" s="1"/>
      <c r="N42" s="1"/>
      <c r="O42" s="10"/>
    </row>
    <row r="43" spans="1:22" ht="31.8" customHeight="1" x14ac:dyDescent="0.3">
      <c r="A43" s="1"/>
      <c r="B43" s="172" t="s">
        <v>71</v>
      </c>
      <c r="C43" s="173" t="s">
        <v>47</v>
      </c>
      <c r="D43" s="174" t="s">
        <v>121</v>
      </c>
      <c r="E43" s="175">
        <v>3</v>
      </c>
      <c r="F43" s="176">
        <v>2</v>
      </c>
      <c r="G43" s="200">
        <f t="shared" si="0"/>
        <v>1</v>
      </c>
      <c r="H43" s="201">
        <v>4</v>
      </c>
      <c r="I43" s="250"/>
      <c r="J43" s="251"/>
      <c r="K43" s="1"/>
      <c r="L43" s="1"/>
      <c r="M43" s="1"/>
      <c r="N43" s="1"/>
      <c r="O43" s="10"/>
    </row>
    <row r="44" spans="1:22" ht="31.8" customHeight="1" x14ac:dyDescent="0.3">
      <c r="A44" s="1"/>
      <c r="B44" s="177" t="s">
        <v>71</v>
      </c>
      <c r="C44" s="178" t="s">
        <v>50</v>
      </c>
      <c r="D44" s="179" t="s">
        <v>51</v>
      </c>
      <c r="E44" s="180">
        <v>2</v>
      </c>
      <c r="F44" s="181">
        <v>1</v>
      </c>
      <c r="G44" s="195">
        <f t="shared" si="0"/>
        <v>1</v>
      </c>
      <c r="H44" s="181">
        <v>2</v>
      </c>
      <c r="I44" s="250"/>
      <c r="J44" s="251"/>
      <c r="K44" s="1"/>
      <c r="L44" s="1"/>
      <c r="M44" s="1"/>
      <c r="N44" s="1"/>
      <c r="O44" s="10"/>
    </row>
    <row r="45" spans="1:22" ht="31.8" customHeight="1" x14ac:dyDescent="0.3">
      <c r="A45" s="1"/>
      <c r="B45" s="48" t="s">
        <v>71</v>
      </c>
      <c r="C45" s="64" t="s">
        <v>50</v>
      </c>
      <c r="D45" s="60" t="s">
        <v>53</v>
      </c>
      <c r="E45" s="119">
        <v>2</v>
      </c>
      <c r="F45" s="98">
        <v>1</v>
      </c>
      <c r="G45" s="196">
        <f t="shared" si="0"/>
        <v>1</v>
      </c>
      <c r="H45" s="98">
        <v>1</v>
      </c>
      <c r="I45" s="250"/>
      <c r="J45" s="251"/>
      <c r="K45" s="1"/>
      <c r="L45" s="1"/>
      <c r="M45" s="1"/>
      <c r="N45" s="1"/>
      <c r="O45" s="10"/>
    </row>
    <row r="46" spans="1:22" ht="31.8" customHeight="1" x14ac:dyDescent="0.3">
      <c r="A46" s="1"/>
      <c r="B46" s="177" t="s">
        <v>71</v>
      </c>
      <c r="C46" s="178" t="s">
        <v>50</v>
      </c>
      <c r="D46" s="179" t="s">
        <v>55</v>
      </c>
      <c r="E46" s="180">
        <v>3</v>
      </c>
      <c r="F46" s="181">
        <v>1</v>
      </c>
      <c r="G46" s="195">
        <f t="shared" si="0"/>
        <v>2</v>
      </c>
      <c r="H46" s="181">
        <v>2</v>
      </c>
      <c r="I46" s="250"/>
      <c r="J46" s="251"/>
      <c r="K46" s="1"/>
      <c r="L46" s="1"/>
      <c r="M46" s="1"/>
      <c r="N46" s="1"/>
      <c r="O46" s="10"/>
    </row>
    <row r="47" spans="1:22" ht="31.8" customHeight="1" x14ac:dyDescent="0.3">
      <c r="A47" s="1"/>
      <c r="B47" s="48" t="s">
        <v>71</v>
      </c>
      <c r="C47" s="64" t="s">
        <v>57</v>
      </c>
      <c r="D47" s="62" t="s">
        <v>58</v>
      </c>
      <c r="E47" s="119">
        <v>2</v>
      </c>
      <c r="F47" s="100">
        <v>1</v>
      </c>
      <c r="G47" s="196">
        <f t="shared" si="0"/>
        <v>1</v>
      </c>
      <c r="H47" s="100">
        <v>1</v>
      </c>
      <c r="I47" s="250"/>
      <c r="J47" s="251"/>
      <c r="K47" s="1"/>
      <c r="L47" s="1"/>
      <c r="M47" s="1"/>
      <c r="N47" s="1"/>
      <c r="O47" s="10"/>
    </row>
    <row r="48" spans="1:22" ht="31.8" customHeight="1" x14ac:dyDescent="0.3">
      <c r="A48" s="1"/>
      <c r="B48" s="191" t="s">
        <v>31</v>
      </c>
      <c r="C48" s="191" t="s">
        <v>70</v>
      </c>
      <c r="D48" s="192" t="s">
        <v>60</v>
      </c>
      <c r="E48" s="121">
        <v>2</v>
      </c>
      <c r="F48" s="100">
        <v>1</v>
      </c>
      <c r="G48" s="197">
        <f t="shared" si="0"/>
        <v>1</v>
      </c>
      <c r="H48" s="100">
        <v>1</v>
      </c>
      <c r="I48" s="250"/>
      <c r="J48" s="251"/>
      <c r="K48" s="1"/>
      <c r="L48" s="1"/>
      <c r="M48" s="1"/>
      <c r="N48" s="1"/>
      <c r="O48" s="10"/>
    </row>
    <row r="49" spans="1:15" ht="31.8" customHeight="1" x14ac:dyDescent="0.3">
      <c r="A49" s="1"/>
      <c r="B49" s="64" t="s">
        <v>31</v>
      </c>
      <c r="C49" s="64" t="s">
        <v>70</v>
      </c>
      <c r="D49" s="55" t="s">
        <v>62</v>
      </c>
      <c r="E49" s="119">
        <v>2</v>
      </c>
      <c r="F49" s="98">
        <v>1</v>
      </c>
      <c r="G49" s="196">
        <f t="shared" si="0"/>
        <v>1</v>
      </c>
      <c r="H49" s="98">
        <v>1</v>
      </c>
      <c r="I49" s="250"/>
      <c r="J49" s="251"/>
      <c r="K49" s="1"/>
      <c r="L49" s="1"/>
      <c r="M49" s="1"/>
      <c r="N49" s="1"/>
      <c r="O49" s="10"/>
    </row>
    <row r="50" spans="1:15" ht="31.8" customHeight="1" x14ac:dyDescent="0.3">
      <c r="A50" s="1"/>
      <c r="B50" s="178" t="s">
        <v>31</v>
      </c>
      <c r="C50" s="178" t="s">
        <v>70</v>
      </c>
      <c r="D50" s="182" t="s">
        <v>64</v>
      </c>
      <c r="E50" s="180">
        <v>2</v>
      </c>
      <c r="F50" s="181">
        <v>1</v>
      </c>
      <c r="G50" s="195">
        <f t="shared" si="0"/>
        <v>1</v>
      </c>
      <c r="H50" s="181">
        <v>2</v>
      </c>
      <c r="I50" s="250"/>
      <c r="J50" s="251"/>
      <c r="K50" s="1"/>
      <c r="L50" s="1"/>
      <c r="M50" s="1"/>
      <c r="N50" s="1"/>
      <c r="O50" s="10"/>
    </row>
    <row r="51" spans="1:15" ht="31.8" customHeight="1" x14ac:dyDescent="0.3">
      <c r="A51" s="1"/>
      <c r="B51" s="178" t="s">
        <v>31</v>
      </c>
      <c r="C51" s="178" t="s">
        <v>70</v>
      </c>
      <c r="D51" s="182" t="s">
        <v>66</v>
      </c>
      <c r="E51" s="180">
        <v>3</v>
      </c>
      <c r="F51" s="181">
        <v>2</v>
      </c>
      <c r="G51" s="195">
        <f t="shared" si="0"/>
        <v>1</v>
      </c>
      <c r="H51" s="181">
        <v>3</v>
      </c>
      <c r="I51" s="250"/>
      <c r="J51" s="251"/>
      <c r="K51" s="1"/>
      <c r="L51" s="1"/>
      <c r="M51" s="1"/>
      <c r="N51" s="1"/>
      <c r="O51" s="10"/>
    </row>
    <row r="52" spans="1:15" ht="31.8" customHeight="1" thickBot="1" x14ac:dyDescent="0.35">
      <c r="A52" s="1"/>
      <c r="B52" s="64" t="s">
        <v>31</v>
      </c>
      <c r="C52" s="64" t="s">
        <v>70</v>
      </c>
      <c r="D52" s="55" t="s">
        <v>68</v>
      </c>
      <c r="E52" s="122">
        <v>2</v>
      </c>
      <c r="F52" s="123">
        <v>1</v>
      </c>
      <c r="G52" s="202">
        <f t="shared" si="0"/>
        <v>1</v>
      </c>
      <c r="H52" s="123">
        <v>1</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1.1538461538461537</v>
      </c>
      <c r="G53" s="132"/>
      <c r="H53" s="130">
        <f>AVERAGE(H27:H52)</f>
        <v>1.4615384615384615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V99"/>
  <sheetViews>
    <sheetView topLeftCell="A34" zoomScale="110" zoomScaleNormal="110" workbookViewId="0">
      <selection activeCell="A55" sqref="A55:XFD55"/>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203</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226</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179</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47</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196">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196">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196">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196">
        <f t="shared" si="0"/>
        <v>2</v>
      </c>
      <c r="H30" s="98">
        <v>1</v>
      </c>
      <c r="I30" s="250"/>
      <c r="J30" s="251"/>
      <c r="K30" s="1"/>
      <c r="L30" s="1"/>
      <c r="M30" s="1"/>
      <c r="N30" s="1"/>
      <c r="O30" s="10"/>
    </row>
    <row r="31" spans="1:15" ht="31.8" customHeight="1" x14ac:dyDescent="0.3">
      <c r="A31" s="1"/>
      <c r="B31" s="48" t="s">
        <v>71</v>
      </c>
      <c r="C31" s="64" t="s">
        <v>33</v>
      </c>
      <c r="D31" s="60" t="s">
        <v>110</v>
      </c>
      <c r="E31" s="119">
        <v>3</v>
      </c>
      <c r="F31" s="98">
        <v>1</v>
      </c>
      <c r="G31" s="196">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196">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196">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196">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196">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196">
        <f t="shared" si="0"/>
        <v>2</v>
      </c>
      <c r="H36" s="98">
        <v>1</v>
      </c>
      <c r="I36" s="250"/>
      <c r="J36" s="251"/>
      <c r="K36" s="1"/>
      <c r="L36" s="1"/>
      <c r="M36" s="1"/>
      <c r="N36" s="1"/>
      <c r="O36" s="10"/>
    </row>
    <row r="37" spans="1:22" ht="31.8" customHeight="1" x14ac:dyDescent="0.3">
      <c r="A37" s="1"/>
      <c r="B37" s="177" t="s">
        <v>71</v>
      </c>
      <c r="C37" s="178" t="s">
        <v>39</v>
      </c>
      <c r="D37" s="179" t="s">
        <v>116</v>
      </c>
      <c r="E37" s="204">
        <v>3</v>
      </c>
      <c r="F37" s="181">
        <v>2</v>
      </c>
      <c r="G37" s="195">
        <f t="shared" si="0"/>
        <v>1</v>
      </c>
      <c r="H37" s="181">
        <v>3</v>
      </c>
      <c r="I37" s="250"/>
      <c r="J37" s="251"/>
      <c r="K37" s="1"/>
      <c r="L37" s="1"/>
      <c r="M37" s="1"/>
      <c r="N37" s="1"/>
      <c r="O37" s="10"/>
    </row>
    <row r="38" spans="1:22" ht="31.8" customHeight="1" x14ac:dyDescent="0.3">
      <c r="A38" s="1"/>
      <c r="B38" s="177" t="s">
        <v>71</v>
      </c>
      <c r="C38" s="178" t="s">
        <v>39</v>
      </c>
      <c r="D38" s="179" t="s">
        <v>117</v>
      </c>
      <c r="E38" s="204">
        <v>3</v>
      </c>
      <c r="F38" s="181">
        <v>2</v>
      </c>
      <c r="G38" s="195">
        <f t="shared" si="0"/>
        <v>1</v>
      </c>
      <c r="H38" s="181">
        <v>3</v>
      </c>
      <c r="I38" s="250"/>
      <c r="J38" s="251"/>
      <c r="K38" s="1"/>
      <c r="L38" s="1"/>
      <c r="M38" s="1"/>
      <c r="N38" s="1"/>
      <c r="O38" s="10"/>
    </row>
    <row r="39" spans="1:22" ht="31.8" customHeight="1" x14ac:dyDescent="0.3">
      <c r="A39" s="1"/>
      <c r="B39" s="177" t="s">
        <v>71</v>
      </c>
      <c r="C39" s="178" t="s">
        <v>42</v>
      </c>
      <c r="D39" s="179" t="s">
        <v>118</v>
      </c>
      <c r="E39" s="180">
        <v>3</v>
      </c>
      <c r="F39" s="181">
        <v>1</v>
      </c>
      <c r="G39" s="195">
        <f t="shared" si="0"/>
        <v>2</v>
      </c>
      <c r="H39" s="181">
        <v>2</v>
      </c>
      <c r="I39" s="250"/>
      <c r="J39" s="251"/>
      <c r="K39" s="1"/>
      <c r="L39" s="1"/>
      <c r="M39" s="1"/>
      <c r="N39" s="1"/>
      <c r="O39" s="10"/>
    </row>
    <row r="40" spans="1:22" ht="31.8" customHeight="1" x14ac:dyDescent="0.3">
      <c r="A40" s="1"/>
      <c r="B40" s="177" t="s">
        <v>71</v>
      </c>
      <c r="C40" s="178" t="s">
        <v>42</v>
      </c>
      <c r="D40" s="179" t="s">
        <v>119</v>
      </c>
      <c r="E40" s="180">
        <v>2</v>
      </c>
      <c r="F40" s="181">
        <v>1</v>
      </c>
      <c r="G40" s="195">
        <f t="shared" si="0"/>
        <v>1</v>
      </c>
      <c r="H40" s="181">
        <v>1</v>
      </c>
      <c r="I40" s="250"/>
      <c r="J40" s="251"/>
      <c r="K40" s="1"/>
      <c r="L40" s="1"/>
      <c r="M40" s="1"/>
      <c r="N40" s="1"/>
      <c r="O40" s="10"/>
    </row>
    <row r="41" spans="1:22" s="96" customFormat="1" ht="31.8" customHeight="1" x14ac:dyDescent="0.3">
      <c r="A41" s="1"/>
      <c r="B41" s="177" t="s">
        <v>71</v>
      </c>
      <c r="C41" s="178" t="s">
        <v>45</v>
      </c>
      <c r="D41" s="179" t="s">
        <v>120</v>
      </c>
      <c r="E41" s="180">
        <v>3</v>
      </c>
      <c r="F41" s="181">
        <v>2</v>
      </c>
      <c r="G41" s="195">
        <f t="shared" si="0"/>
        <v>1</v>
      </c>
      <c r="H41" s="181">
        <v>3</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196">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196">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196">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196">
        <f t="shared" si="0"/>
        <v>1</v>
      </c>
      <c r="H45" s="98">
        <v>1</v>
      </c>
      <c r="I45" s="250"/>
      <c r="J45" s="251"/>
      <c r="K45" s="1"/>
      <c r="L45" s="1"/>
      <c r="M45" s="1"/>
      <c r="N45" s="1"/>
      <c r="O45" s="10"/>
    </row>
    <row r="46" spans="1:22" ht="31.8" customHeight="1" x14ac:dyDescent="0.3">
      <c r="A46" s="1"/>
      <c r="B46" s="177" t="s">
        <v>71</v>
      </c>
      <c r="C46" s="178" t="s">
        <v>50</v>
      </c>
      <c r="D46" s="179" t="s">
        <v>55</v>
      </c>
      <c r="E46" s="180">
        <v>3</v>
      </c>
      <c r="F46" s="181">
        <v>1</v>
      </c>
      <c r="G46" s="195">
        <f t="shared" si="0"/>
        <v>2</v>
      </c>
      <c r="H46" s="181">
        <v>2</v>
      </c>
      <c r="I46" s="250"/>
      <c r="J46" s="251"/>
      <c r="K46" s="1"/>
      <c r="L46" s="1"/>
      <c r="M46" s="1"/>
      <c r="N46" s="1"/>
      <c r="O46" s="10"/>
    </row>
    <row r="47" spans="1:22" ht="31.8" customHeight="1" x14ac:dyDescent="0.3">
      <c r="A47" s="1"/>
      <c r="B47" s="177" t="s">
        <v>71</v>
      </c>
      <c r="C47" s="178" t="s">
        <v>57</v>
      </c>
      <c r="D47" s="198" t="s">
        <v>58</v>
      </c>
      <c r="E47" s="180">
        <v>2</v>
      </c>
      <c r="F47" s="181">
        <v>1</v>
      </c>
      <c r="G47" s="195">
        <f t="shared" si="0"/>
        <v>1</v>
      </c>
      <c r="H47" s="181">
        <v>2</v>
      </c>
      <c r="I47" s="250"/>
      <c r="J47" s="251"/>
      <c r="K47" s="1"/>
      <c r="L47" s="1"/>
      <c r="M47" s="1"/>
      <c r="N47" s="1"/>
      <c r="O47" s="10"/>
    </row>
    <row r="48" spans="1:22" ht="31.8" customHeight="1" x14ac:dyDescent="0.3">
      <c r="A48" s="1"/>
      <c r="B48" s="178" t="s">
        <v>31</v>
      </c>
      <c r="C48" s="178" t="s">
        <v>70</v>
      </c>
      <c r="D48" s="182" t="s">
        <v>60</v>
      </c>
      <c r="E48" s="180">
        <v>2</v>
      </c>
      <c r="F48" s="181">
        <v>1</v>
      </c>
      <c r="G48" s="195">
        <f t="shared" si="0"/>
        <v>1</v>
      </c>
      <c r="H48" s="181">
        <v>2</v>
      </c>
      <c r="I48" s="250"/>
      <c r="J48" s="251"/>
      <c r="K48" s="1"/>
      <c r="L48" s="1"/>
      <c r="M48" s="1"/>
      <c r="N48" s="1"/>
      <c r="O48" s="10"/>
    </row>
    <row r="49" spans="1:15" ht="31.8" customHeight="1" x14ac:dyDescent="0.3">
      <c r="A49" s="1"/>
      <c r="B49" s="178" t="s">
        <v>31</v>
      </c>
      <c r="C49" s="178" t="s">
        <v>70</v>
      </c>
      <c r="D49" s="182" t="s">
        <v>62</v>
      </c>
      <c r="E49" s="180">
        <v>2</v>
      </c>
      <c r="F49" s="181">
        <v>1</v>
      </c>
      <c r="G49" s="195">
        <f t="shared" si="0"/>
        <v>1</v>
      </c>
      <c r="H49" s="181">
        <v>2</v>
      </c>
      <c r="I49" s="250"/>
      <c r="J49" s="251"/>
      <c r="K49" s="1"/>
      <c r="L49" s="1"/>
      <c r="M49" s="1"/>
      <c r="N49" s="1"/>
      <c r="O49" s="10"/>
    </row>
    <row r="50" spans="1:15" ht="31.8" customHeight="1" x14ac:dyDescent="0.3">
      <c r="A50" s="1"/>
      <c r="B50" s="178" t="s">
        <v>31</v>
      </c>
      <c r="C50" s="178" t="s">
        <v>70</v>
      </c>
      <c r="D50" s="182" t="s">
        <v>64</v>
      </c>
      <c r="E50" s="180">
        <v>2</v>
      </c>
      <c r="F50" s="181">
        <v>2</v>
      </c>
      <c r="G50" s="195">
        <f t="shared" si="0"/>
        <v>0</v>
      </c>
      <c r="H50" s="181">
        <v>2</v>
      </c>
      <c r="I50" s="250"/>
      <c r="J50" s="251"/>
      <c r="K50" s="1"/>
      <c r="L50" s="1"/>
      <c r="M50" s="1"/>
      <c r="N50" s="1"/>
      <c r="O50" s="10"/>
    </row>
    <row r="51" spans="1:15" ht="31.8" customHeight="1" x14ac:dyDescent="0.3">
      <c r="A51" s="1"/>
      <c r="B51" s="178" t="s">
        <v>31</v>
      </c>
      <c r="C51" s="178" t="s">
        <v>70</v>
      </c>
      <c r="D51" s="182" t="s">
        <v>66</v>
      </c>
      <c r="E51" s="180">
        <v>3</v>
      </c>
      <c r="F51" s="181">
        <v>1</v>
      </c>
      <c r="G51" s="195">
        <f t="shared" si="0"/>
        <v>2</v>
      </c>
      <c r="H51" s="181">
        <v>2</v>
      </c>
      <c r="I51" s="250"/>
      <c r="J51" s="251"/>
      <c r="K51" s="1"/>
      <c r="L51" s="1"/>
      <c r="M51" s="1"/>
      <c r="N51" s="1"/>
      <c r="O51" s="10"/>
    </row>
    <row r="52" spans="1:15" ht="31.8" customHeight="1" thickBot="1" x14ac:dyDescent="0.35">
      <c r="A52" s="1"/>
      <c r="B52" s="178" t="s">
        <v>31</v>
      </c>
      <c r="C52" s="178" t="s">
        <v>70</v>
      </c>
      <c r="D52" s="182" t="s">
        <v>68</v>
      </c>
      <c r="E52" s="183">
        <v>2</v>
      </c>
      <c r="F52" s="184">
        <v>1</v>
      </c>
      <c r="G52" s="199">
        <f t="shared" si="0"/>
        <v>1</v>
      </c>
      <c r="H52" s="184">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1.1538461538461537</v>
      </c>
      <c r="G53" s="132"/>
      <c r="H53" s="130">
        <f>AVERAGE(H27:H52)</f>
        <v>1.5384615384615385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V99"/>
  <sheetViews>
    <sheetView topLeftCell="A31" zoomScale="110" zoomScaleNormal="110" workbookViewId="0">
      <selection activeCell="F12" sqref="F12:J1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202</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225</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256</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279</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8">
        <v>1</v>
      </c>
      <c r="I30" s="250"/>
      <c r="J30" s="251"/>
      <c r="K30" s="1"/>
      <c r="L30" s="1"/>
      <c r="M30" s="1"/>
      <c r="N30" s="1"/>
      <c r="O30" s="10"/>
    </row>
    <row r="31" spans="1:15" ht="31.8" customHeight="1" x14ac:dyDescent="0.3">
      <c r="A31" s="1"/>
      <c r="B31" s="177" t="s">
        <v>71</v>
      </c>
      <c r="C31" s="178" t="s">
        <v>33</v>
      </c>
      <c r="D31" s="179" t="s">
        <v>110</v>
      </c>
      <c r="E31" s="180">
        <v>3</v>
      </c>
      <c r="F31" s="181">
        <v>2</v>
      </c>
      <c r="G31" s="205">
        <f t="shared" si="0"/>
        <v>1</v>
      </c>
      <c r="H31" s="181">
        <v>3</v>
      </c>
      <c r="I31" s="250"/>
      <c r="J31" s="251"/>
      <c r="K31" s="1"/>
      <c r="L31" s="1"/>
      <c r="M31" s="1"/>
      <c r="N31" s="1"/>
      <c r="O31" s="10"/>
    </row>
    <row r="32" spans="1:15" ht="31.8" customHeight="1" x14ac:dyDescent="0.3">
      <c r="A32" s="1"/>
      <c r="B32" s="177" t="s">
        <v>71</v>
      </c>
      <c r="C32" s="178" t="s">
        <v>33</v>
      </c>
      <c r="D32" s="179" t="s">
        <v>111</v>
      </c>
      <c r="E32" s="180">
        <v>3</v>
      </c>
      <c r="F32" s="181">
        <v>3</v>
      </c>
      <c r="G32" s="205">
        <f t="shared" si="0"/>
        <v>0</v>
      </c>
      <c r="H32" s="181">
        <v>3</v>
      </c>
      <c r="I32" s="250"/>
      <c r="J32" s="251"/>
      <c r="K32" s="1"/>
      <c r="L32" s="1"/>
      <c r="M32" s="1"/>
      <c r="N32" s="1"/>
      <c r="O32" s="10"/>
    </row>
    <row r="33" spans="1:22" ht="31.8" customHeight="1" x14ac:dyDescent="0.3">
      <c r="A33" s="1"/>
      <c r="B33" s="177" t="s">
        <v>71</v>
      </c>
      <c r="C33" s="178" t="s">
        <v>33</v>
      </c>
      <c r="D33" s="179" t="s">
        <v>112</v>
      </c>
      <c r="E33" s="180">
        <v>2</v>
      </c>
      <c r="F33" s="181">
        <v>2</v>
      </c>
      <c r="G33" s="205">
        <f t="shared" si="0"/>
        <v>0</v>
      </c>
      <c r="H33" s="181">
        <v>3</v>
      </c>
      <c r="I33" s="250"/>
      <c r="J33" s="251"/>
      <c r="K33" s="1"/>
      <c r="L33" s="1"/>
      <c r="M33" s="1"/>
      <c r="N33" s="1"/>
      <c r="O33" s="10"/>
    </row>
    <row r="34" spans="1:22" ht="31.8" customHeight="1" x14ac:dyDescent="0.3">
      <c r="A34" s="1"/>
      <c r="B34" s="177" t="s">
        <v>71</v>
      </c>
      <c r="C34" s="178" t="s">
        <v>33</v>
      </c>
      <c r="D34" s="179" t="s">
        <v>113</v>
      </c>
      <c r="E34" s="180">
        <v>3</v>
      </c>
      <c r="F34" s="181">
        <v>2</v>
      </c>
      <c r="G34" s="205">
        <f t="shared" si="0"/>
        <v>1</v>
      </c>
      <c r="H34" s="181">
        <v>4</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97">
        <f t="shared" si="0"/>
        <v>2</v>
      </c>
      <c r="H37" s="98">
        <v>1</v>
      </c>
      <c r="I37" s="250"/>
      <c r="J37" s="251"/>
      <c r="K37" s="1"/>
      <c r="L37" s="1"/>
      <c r="M37" s="1"/>
      <c r="N37" s="1"/>
      <c r="O37" s="10"/>
    </row>
    <row r="38" spans="1:22" ht="31.8" customHeight="1" x14ac:dyDescent="0.3">
      <c r="A38" s="1"/>
      <c r="B38" s="48" t="s">
        <v>71</v>
      </c>
      <c r="C38" s="64" t="s">
        <v>39</v>
      </c>
      <c r="D38" s="60" t="s">
        <v>117</v>
      </c>
      <c r="E38" s="120">
        <v>3</v>
      </c>
      <c r="F38" s="98">
        <v>1</v>
      </c>
      <c r="G38" s="97">
        <f t="shared" si="0"/>
        <v>2</v>
      </c>
      <c r="H38" s="98">
        <v>1</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97">
        <f t="shared" si="0"/>
        <v>2</v>
      </c>
      <c r="H41" s="100">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8">
        <v>1</v>
      </c>
      <c r="I45" s="250"/>
      <c r="J45" s="251"/>
      <c r="K45" s="1"/>
      <c r="L45" s="1"/>
      <c r="M45" s="1"/>
      <c r="N45" s="1"/>
      <c r="O45" s="10"/>
    </row>
    <row r="46" spans="1:22" ht="31.8" customHeight="1" x14ac:dyDescent="0.3">
      <c r="A46" s="1"/>
      <c r="B46" s="177" t="s">
        <v>71</v>
      </c>
      <c r="C46" s="178" t="s">
        <v>50</v>
      </c>
      <c r="D46" s="179" t="s">
        <v>55</v>
      </c>
      <c r="E46" s="180">
        <v>3</v>
      </c>
      <c r="F46" s="181">
        <v>1</v>
      </c>
      <c r="G46" s="205">
        <f t="shared" si="0"/>
        <v>2</v>
      </c>
      <c r="H46" s="181">
        <v>2</v>
      </c>
      <c r="I46" s="250"/>
      <c r="J46" s="251"/>
      <c r="K46" s="1"/>
      <c r="L46" s="1"/>
      <c r="M46" s="1"/>
      <c r="N46" s="1"/>
      <c r="O46" s="10"/>
    </row>
    <row r="47" spans="1:22" ht="31.8" customHeight="1" x14ac:dyDescent="0.3">
      <c r="A47" s="1"/>
      <c r="B47" s="48" t="s">
        <v>71</v>
      </c>
      <c r="C47" s="64" t="s">
        <v>57</v>
      </c>
      <c r="D47" s="62" t="s">
        <v>58</v>
      </c>
      <c r="E47" s="119">
        <v>2</v>
      </c>
      <c r="F47" s="100">
        <v>1</v>
      </c>
      <c r="G47" s="97">
        <f t="shared" si="0"/>
        <v>1</v>
      </c>
      <c r="H47" s="100">
        <v>1</v>
      </c>
      <c r="I47" s="250"/>
      <c r="J47" s="251"/>
      <c r="K47" s="1"/>
      <c r="L47" s="1"/>
      <c r="M47" s="1"/>
      <c r="N47" s="1"/>
      <c r="O47" s="10"/>
    </row>
    <row r="48" spans="1:22" ht="31.8" customHeight="1" x14ac:dyDescent="0.3">
      <c r="A48" s="1"/>
      <c r="B48" s="64" t="s">
        <v>31</v>
      </c>
      <c r="C48" s="64" t="s">
        <v>70</v>
      </c>
      <c r="D48" s="55" t="s">
        <v>60</v>
      </c>
      <c r="E48" s="119">
        <v>2</v>
      </c>
      <c r="F48" s="98">
        <v>1</v>
      </c>
      <c r="G48" s="97">
        <f t="shared" si="0"/>
        <v>1</v>
      </c>
      <c r="H48" s="98">
        <v>1</v>
      </c>
      <c r="I48" s="250"/>
      <c r="J48" s="251"/>
      <c r="K48" s="1"/>
      <c r="L48" s="1"/>
      <c r="M48" s="1"/>
      <c r="N48" s="1"/>
      <c r="O48" s="10"/>
    </row>
    <row r="49" spans="1:15" ht="31.8" customHeight="1" x14ac:dyDescent="0.3">
      <c r="A49" s="1"/>
      <c r="B49" s="64" t="s">
        <v>31</v>
      </c>
      <c r="C49" s="64" t="s">
        <v>70</v>
      </c>
      <c r="D49" s="55" t="s">
        <v>62</v>
      </c>
      <c r="E49" s="119">
        <v>2</v>
      </c>
      <c r="F49" s="98">
        <v>1</v>
      </c>
      <c r="G49" s="97">
        <f t="shared" si="0"/>
        <v>1</v>
      </c>
      <c r="H49" s="98">
        <v>1</v>
      </c>
      <c r="I49" s="250"/>
      <c r="J49" s="251"/>
      <c r="K49" s="1"/>
      <c r="L49" s="1"/>
      <c r="M49" s="1"/>
      <c r="N49" s="1"/>
      <c r="O49" s="10"/>
    </row>
    <row r="50" spans="1:15" ht="31.8" customHeight="1" x14ac:dyDescent="0.3">
      <c r="A50" s="1"/>
      <c r="B50" s="178" t="s">
        <v>31</v>
      </c>
      <c r="C50" s="178" t="s">
        <v>70</v>
      </c>
      <c r="D50" s="182" t="s">
        <v>64</v>
      </c>
      <c r="E50" s="180">
        <v>2</v>
      </c>
      <c r="F50" s="181">
        <v>2</v>
      </c>
      <c r="G50" s="205">
        <f t="shared" si="0"/>
        <v>0</v>
      </c>
      <c r="H50" s="181">
        <v>2</v>
      </c>
      <c r="I50" s="250"/>
      <c r="J50" s="251"/>
      <c r="K50" s="1"/>
      <c r="L50" s="1"/>
      <c r="M50" s="1"/>
      <c r="N50" s="1"/>
      <c r="O50" s="10"/>
    </row>
    <row r="51" spans="1:15" ht="31.8" customHeight="1" x14ac:dyDescent="0.3">
      <c r="A51" s="1"/>
      <c r="B51" s="178" t="s">
        <v>31</v>
      </c>
      <c r="C51" s="178" t="s">
        <v>70</v>
      </c>
      <c r="D51" s="182" t="s">
        <v>66</v>
      </c>
      <c r="E51" s="180">
        <v>3</v>
      </c>
      <c r="F51" s="181">
        <v>2</v>
      </c>
      <c r="G51" s="205">
        <f t="shared" si="0"/>
        <v>1</v>
      </c>
      <c r="H51" s="181">
        <v>3</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3">
        <v>1</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1.2692307692307692</v>
      </c>
      <c r="G53" s="132"/>
      <c r="H53" s="130">
        <f>AVERAGE(H27:H52)</f>
        <v>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V99"/>
  <sheetViews>
    <sheetView zoomScale="110" zoomScaleNormal="110" workbookViewId="0">
      <selection activeCell="F12" sqref="F12:J1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201</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224</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231</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2</v>
      </c>
      <c r="F27" s="98">
        <v>1</v>
      </c>
      <c r="G27" s="97">
        <f>($E27-$F27)</f>
        <v>1</v>
      </c>
      <c r="H27" s="99">
        <v>2</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9">
        <v>2</v>
      </c>
      <c r="I28" s="250"/>
      <c r="J28" s="251"/>
      <c r="K28" s="1"/>
      <c r="L28" s="1"/>
      <c r="M28" s="1"/>
      <c r="N28" s="1"/>
      <c r="O28" s="10"/>
    </row>
    <row r="29" spans="1:15" ht="31.8" customHeight="1" x14ac:dyDescent="0.3">
      <c r="A29" s="1"/>
      <c r="B29" s="48" t="s">
        <v>71</v>
      </c>
      <c r="C29" s="64" t="s">
        <v>32</v>
      </c>
      <c r="D29" s="60" t="s">
        <v>108</v>
      </c>
      <c r="E29" s="119">
        <v>2</v>
      </c>
      <c r="F29" s="98">
        <v>1</v>
      </c>
      <c r="G29" s="97">
        <f t="shared" si="0"/>
        <v>1</v>
      </c>
      <c r="H29" s="99">
        <v>2</v>
      </c>
      <c r="I29" s="250"/>
      <c r="J29" s="251"/>
      <c r="K29" s="1"/>
      <c r="L29" s="1"/>
      <c r="M29" s="1"/>
      <c r="N29" s="1"/>
      <c r="O29" s="10"/>
    </row>
    <row r="30" spans="1:15" ht="31.8" customHeight="1" x14ac:dyDescent="0.3">
      <c r="A30" s="1"/>
      <c r="B30" s="48" t="s">
        <v>71</v>
      </c>
      <c r="C30" s="64" t="s">
        <v>32</v>
      </c>
      <c r="D30" s="60" t="s">
        <v>109</v>
      </c>
      <c r="E30" s="119">
        <v>2</v>
      </c>
      <c r="F30" s="98">
        <v>1</v>
      </c>
      <c r="G30" s="97">
        <f t="shared" si="0"/>
        <v>1</v>
      </c>
      <c r="H30" s="99">
        <v>2</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9">
        <v>2</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9">
        <v>2</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9">
        <v>2</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9">
        <v>2</v>
      </c>
      <c r="I34" s="250"/>
      <c r="J34" s="251"/>
      <c r="K34" s="1"/>
      <c r="L34" s="1"/>
      <c r="M34" s="1"/>
      <c r="N34" s="1"/>
      <c r="O34" s="10"/>
    </row>
    <row r="35" spans="1:22" ht="31.8" customHeight="1" x14ac:dyDescent="0.3">
      <c r="A35" s="1"/>
      <c r="B35" s="48" t="s">
        <v>71</v>
      </c>
      <c r="C35" s="64" t="s">
        <v>38</v>
      </c>
      <c r="D35" s="60" t="s">
        <v>114</v>
      </c>
      <c r="E35" s="119">
        <v>2</v>
      </c>
      <c r="F35" s="98">
        <v>1</v>
      </c>
      <c r="G35" s="97">
        <f t="shared" si="0"/>
        <v>1</v>
      </c>
      <c r="H35" s="99">
        <v>2</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9">
        <v>2</v>
      </c>
      <c r="I36" s="250"/>
      <c r="J36" s="251"/>
      <c r="K36" s="1"/>
      <c r="L36" s="1"/>
      <c r="M36" s="1"/>
      <c r="N36" s="1"/>
      <c r="O36" s="10"/>
    </row>
    <row r="37" spans="1:22" ht="31.8" customHeight="1" x14ac:dyDescent="0.3">
      <c r="A37" s="1"/>
      <c r="B37" s="48" t="s">
        <v>71</v>
      </c>
      <c r="C37" s="64" t="s">
        <v>39</v>
      </c>
      <c r="D37" s="60" t="s">
        <v>116</v>
      </c>
      <c r="E37" s="120">
        <v>3</v>
      </c>
      <c r="F37" s="98">
        <v>3</v>
      </c>
      <c r="G37" s="97">
        <f t="shared" si="0"/>
        <v>0</v>
      </c>
      <c r="H37" s="99">
        <v>2</v>
      </c>
      <c r="I37" s="250"/>
      <c r="J37" s="251"/>
      <c r="K37" s="1"/>
      <c r="L37" s="1"/>
      <c r="M37" s="1"/>
      <c r="N37" s="1"/>
      <c r="O37" s="10"/>
    </row>
    <row r="38" spans="1:22" ht="31.8" customHeight="1" x14ac:dyDescent="0.3">
      <c r="A38" s="1"/>
      <c r="B38" s="48" t="s">
        <v>71</v>
      </c>
      <c r="C38" s="64" t="s">
        <v>39</v>
      </c>
      <c r="D38" s="60" t="s">
        <v>117</v>
      </c>
      <c r="E38" s="120">
        <v>3</v>
      </c>
      <c r="F38" s="98">
        <v>3</v>
      </c>
      <c r="G38" s="97">
        <f t="shared" si="0"/>
        <v>0</v>
      </c>
      <c r="H38" s="99">
        <v>2</v>
      </c>
      <c r="I38" s="250"/>
      <c r="J38" s="251"/>
      <c r="K38" s="1"/>
      <c r="L38" s="1"/>
      <c r="M38" s="1"/>
      <c r="N38" s="1"/>
      <c r="O38" s="10"/>
    </row>
    <row r="39" spans="1:22" ht="31.8" customHeight="1" x14ac:dyDescent="0.3">
      <c r="A39" s="1"/>
      <c r="B39" s="48" t="s">
        <v>71</v>
      </c>
      <c r="C39" s="64" t="s">
        <v>42</v>
      </c>
      <c r="D39" s="60" t="s">
        <v>118</v>
      </c>
      <c r="E39" s="119">
        <v>3</v>
      </c>
      <c r="F39" s="98">
        <v>3</v>
      </c>
      <c r="G39" s="97">
        <f t="shared" si="0"/>
        <v>0</v>
      </c>
      <c r="H39" s="99">
        <v>2</v>
      </c>
      <c r="I39" s="250"/>
      <c r="J39" s="251"/>
      <c r="K39" s="1"/>
      <c r="L39" s="1"/>
      <c r="M39" s="1"/>
      <c r="N39" s="1"/>
      <c r="O39" s="10"/>
    </row>
    <row r="40" spans="1:22" ht="31.8" customHeight="1" x14ac:dyDescent="0.3">
      <c r="A40" s="1"/>
      <c r="B40" s="48" t="s">
        <v>71</v>
      </c>
      <c r="C40" s="64" t="s">
        <v>42</v>
      </c>
      <c r="D40" s="60" t="s">
        <v>119</v>
      </c>
      <c r="E40" s="119">
        <v>2</v>
      </c>
      <c r="F40" s="98">
        <v>2</v>
      </c>
      <c r="G40" s="97">
        <f t="shared" si="0"/>
        <v>0</v>
      </c>
      <c r="H40" s="99">
        <v>2</v>
      </c>
      <c r="I40" s="250"/>
      <c r="J40" s="251"/>
      <c r="K40" s="1"/>
      <c r="L40" s="1"/>
      <c r="M40" s="1"/>
      <c r="N40" s="1"/>
      <c r="O40" s="10"/>
    </row>
    <row r="41" spans="1:22" s="96" customFormat="1" ht="31.8" customHeight="1" x14ac:dyDescent="0.3">
      <c r="A41" s="1"/>
      <c r="B41" s="48" t="s">
        <v>71</v>
      </c>
      <c r="C41" s="64" t="s">
        <v>45</v>
      </c>
      <c r="D41" s="60" t="s">
        <v>120</v>
      </c>
      <c r="E41" s="121">
        <v>2</v>
      </c>
      <c r="F41" s="100">
        <v>3</v>
      </c>
      <c r="G41" s="97">
        <f t="shared" si="0"/>
        <v>-1</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3</v>
      </c>
      <c r="G42" s="97">
        <f>($E42-$F42)</f>
        <v>0</v>
      </c>
      <c r="H42" s="99">
        <v>2</v>
      </c>
      <c r="I42" s="250"/>
      <c r="J42" s="251"/>
      <c r="K42" s="1"/>
      <c r="L42" s="1"/>
      <c r="M42" s="1"/>
      <c r="N42" s="1"/>
      <c r="O42" s="10"/>
    </row>
    <row r="43" spans="1:22" ht="31.8" customHeight="1" x14ac:dyDescent="0.3">
      <c r="A43" s="1"/>
      <c r="B43" s="48" t="s">
        <v>71</v>
      </c>
      <c r="C43" s="64" t="s">
        <v>47</v>
      </c>
      <c r="D43" s="60" t="s">
        <v>121</v>
      </c>
      <c r="E43" s="119">
        <v>3</v>
      </c>
      <c r="F43" s="98">
        <v>3</v>
      </c>
      <c r="G43" s="97">
        <f t="shared" si="0"/>
        <v>0</v>
      </c>
      <c r="H43" s="99">
        <v>2</v>
      </c>
      <c r="I43" s="250"/>
      <c r="J43" s="251"/>
      <c r="K43" s="1"/>
      <c r="L43" s="1"/>
      <c r="M43" s="1"/>
      <c r="N43" s="1"/>
      <c r="O43" s="10"/>
    </row>
    <row r="44" spans="1:22" ht="31.8" customHeight="1" x14ac:dyDescent="0.3">
      <c r="A44" s="1"/>
      <c r="B44" s="48" t="s">
        <v>71</v>
      </c>
      <c r="C44" s="64" t="s">
        <v>50</v>
      </c>
      <c r="D44" s="60" t="s">
        <v>51</v>
      </c>
      <c r="E44" s="119">
        <v>3</v>
      </c>
      <c r="F44" s="100">
        <v>1</v>
      </c>
      <c r="G44" s="97">
        <f t="shared" si="0"/>
        <v>2</v>
      </c>
      <c r="H44" s="99">
        <v>2</v>
      </c>
      <c r="I44" s="250"/>
      <c r="J44" s="251"/>
      <c r="K44" s="1"/>
      <c r="L44" s="1"/>
      <c r="M44" s="1"/>
      <c r="N44" s="1"/>
      <c r="O44" s="10"/>
    </row>
    <row r="45" spans="1:22" ht="31.8" customHeight="1" x14ac:dyDescent="0.3">
      <c r="A45" s="1"/>
      <c r="B45" s="48" t="s">
        <v>71</v>
      </c>
      <c r="C45" s="64" t="s">
        <v>50</v>
      </c>
      <c r="D45" s="60" t="s">
        <v>53</v>
      </c>
      <c r="E45" s="119">
        <v>3</v>
      </c>
      <c r="F45" s="98">
        <v>1</v>
      </c>
      <c r="G45" s="97">
        <f t="shared" si="0"/>
        <v>2</v>
      </c>
      <c r="H45" s="99">
        <v>2</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9">
        <v>2</v>
      </c>
      <c r="I46" s="250"/>
      <c r="J46" s="251"/>
      <c r="K46" s="1"/>
      <c r="L46" s="1"/>
      <c r="M46" s="1"/>
      <c r="N46" s="1"/>
      <c r="O46" s="10"/>
    </row>
    <row r="47" spans="1:22" ht="31.8" customHeight="1" x14ac:dyDescent="0.3">
      <c r="A47" s="1"/>
      <c r="B47" s="48" t="s">
        <v>71</v>
      </c>
      <c r="C47" s="64" t="s">
        <v>57</v>
      </c>
      <c r="D47" s="62" t="s">
        <v>58</v>
      </c>
      <c r="E47" s="119">
        <v>3</v>
      </c>
      <c r="F47" s="100">
        <v>1</v>
      </c>
      <c r="G47" s="97">
        <f t="shared" si="0"/>
        <v>2</v>
      </c>
      <c r="H47" s="99">
        <v>2</v>
      </c>
      <c r="I47" s="250"/>
      <c r="J47" s="251"/>
      <c r="K47" s="1"/>
      <c r="L47" s="1"/>
      <c r="M47" s="1"/>
      <c r="N47" s="1"/>
      <c r="O47" s="10"/>
    </row>
    <row r="48" spans="1:22" ht="31.8" customHeight="1" x14ac:dyDescent="0.3">
      <c r="A48" s="1"/>
      <c r="B48" s="64" t="s">
        <v>31</v>
      </c>
      <c r="C48" s="64" t="s">
        <v>70</v>
      </c>
      <c r="D48" s="55" t="s">
        <v>60</v>
      </c>
      <c r="E48" s="119">
        <v>3</v>
      </c>
      <c r="F48" s="98">
        <v>1</v>
      </c>
      <c r="G48" s="97">
        <f t="shared" si="0"/>
        <v>2</v>
      </c>
      <c r="H48" s="99">
        <v>2</v>
      </c>
      <c r="I48" s="250"/>
      <c r="J48" s="251"/>
      <c r="K48" s="1"/>
      <c r="L48" s="1"/>
      <c r="M48" s="1"/>
      <c r="N48" s="1"/>
      <c r="O48" s="10"/>
    </row>
    <row r="49" spans="1:15" ht="31.8" customHeight="1" x14ac:dyDescent="0.3">
      <c r="A49" s="1"/>
      <c r="B49" s="64" t="s">
        <v>31</v>
      </c>
      <c r="C49" s="64" t="s">
        <v>70</v>
      </c>
      <c r="D49" s="55" t="s">
        <v>62</v>
      </c>
      <c r="E49" s="119">
        <v>2</v>
      </c>
      <c r="F49" s="98">
        <v>1</v>
      </c>
      <c r="G49" s="97">
        <f t="shared" si="0"/>
        <v>1</v>
      </c>
      <c r="H49" s="99">
        <v>2</v>
      </c>
      <c r="I49" s="250"/>
      <c r="J49" s="251"/>
      <c r="K49" s="1"/>
      <c r="L49" s="1"/>
      <c r="M49" s="1"/>
      <c r="N49" s="1"/>
      <c r="O49" s="10"/>
    </row>
    <row r="50" spans="1:15" ht="31.8" customHeight="1" x14ac:dyDescent="0.3">
      <c r="A50" s="1"/>
      <c r="B50" s="64" t="s">
        <v>31</v>
      </c>
      <c r="C50" s="64" t="s">
        <v>70</v>
      </c>
      <c r="D50" s="55" t="s">
        <v>64</v>
      </c>
      <c r="E50" s="119">
        <v>2</v>
      </c>
      <c r="F50" s="98">
        <v>2</v>
      </c>
      <c r="G50" s="97">
        <f t="shared" si="0"/>
        <v>0</v>
      </c>
      <c r="H50" s="99">
        <v>2</v>
      </c>
      <c r="I50" s="250"/>
      <c r="J50" s="251"/>
      <c r="K50" s="1"/>
      <c r="L50" s="1"/>
      <c r="M50" s="1"/>
      <c r="N50" s="1"/>
      <c r="O50" s="10"/>
    </row>
    <row r="51" spans="1:15" ht="31.8" customHeight="1" x14ac:dyDescent="0.3">
      <c r="A51" s="1"/>
      <c r="B51" s="64" t="s">
        <v>31</v>
      </c>
      <c r="C51" s="64" t="s">
        <v>70</v>
      </c>
      <c r="D51" s="55" t="s">
        <v>66</v>
      </c>
      <c r="E51" s="119">
        <v>2</v>
      </c>
      <c r="F51" s="98">
        <v>3</v>
      </c>
      <c r="G51" s="97">
        <f t="shared" si="0"/>
        <v>-1</v>
      </c>
      <c r="H51" s="99">
        <v>2</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5">
        <v>2</v>
      </c>
      <c r="I52" s="268"/>
      <c r="J52" s="269"/>
      <c r="K52" s="1"/>
      <c r="L52" s="1"/>
      <c r="M52" s="1"/>
      <c r="N52" s="1"/>
      <c r="O52" s="10"/>
    </row>
    <row r="53" spans="1:15" ht="31.8" customHeight="1" thickBot="1" x14ac:dyDescent="0.35">
      <c r="A53" s="1"/>
      <c r="B53" s="264" t="s">
        <v>177</v>
      </c>
      <c r="C53" s="265"/>
      <c r="D53" s="265"/>
      <c r="E53" s="130">
        <f>AVERAGE(E27:E52)</f>
        <v>2.5384615384615383</v>
      </c>
      <c r="F53" s="131">
        <f>AVERAGE(F27:F52)</f>
        <v>1.6153846153846154</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V99"/>
  <sheetViews>
    <sheetView topLeftCell="A67" zoomScale="110" zoomScaleNormal="110" workbookViewId="0">
      <selection activeCell="I31" sqref="I31:J31"/>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200</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223</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305</v>
      </c>
      <c r="D7" s="16"/>
      <c r="E7" s="39" t="s">
        <v>20</v>
      </c>
      <c r="F7" s="168">
        <v>1</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42144</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304</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42">
        <v>1</v>
      </c>
      <c r="G27" s="97">
        <f>($E27-$F27)</f>
        <v>2</v>
      </c>
      <c r="H27" s="42">
        <v>1</v>
      </c>
      <c r="I27" s="262"/>
      <c r="J27" s="263"/>
      <c r="K27" s="1"/>
      <c r="L27" s="1"/>
      <c r="M27" s="1"/>
      <c r="N27" s="1"/>
      <c r="O27" s="10"/>
    </row>
    <row r="28" spans="1:15" ht="31.8" customHeight="1" x14ac:dyDescent="0.3">
      <c r="A28" s="1"/>
      <c r="B28" s="48" t="s">
        <v>71</v>
      </c>
      <c r="C28" s="64" t="s">
        <v>32</v>
      </c>
      <c r="D28" s="60" t="s">
        <v>107</v>
      </c>
      <c r="E28" s="119">
        <v>2</v>
      </c>
      <c r="F28" s="42">
        <v>1</v>
      </c>
      <c r="G28" s="97">
        <f t="shared" ref="G28:G52" si="0">($E28-$F28)</f>
        <v>1</v>
      </c>
      <c r="H28" s="42">
        <v>1</v>
      </c>
      <c r="I28" s="250"/>
      <c r="J28" s="251"/>
      <c r="K28" s="1"/>
      <c r="L28" s="1"/>
      <c r="M28" s="1"/>
      <c r="N28" s="1"/>
      <c r="O28" s="10"/>
    </row>
    <row r="29" spans="1:15" ht="31.8" customHeight="1" x14ac:dyDescent="0.3">
      <c r="A29" s="1"/>
      <c r="B29" s="48" t="s">
        <v>71</v>
      </c>
      <c r="C29" s="64" t="s">
        <v>32</v>
      </c>
      <c r="D29" s="60" t="s">
        <v>108</v>
      </c>
      <c r="E29" s="119">
        <v>3</v>
      </c>
      <c r="F29" s="42">
        <v>1</v>
      </c>
      <c r="G29" s="97">
        <f t="shared" si="0"/>
        <v>2</v>
      </c>
      <c r="H29" s="42">
        <v>1</v>
      </c>
      <c r="I29" s="250"/>
      <c r="J29" s="251"/>
      <c r="K29" s="1"/>
      <c r="L29" s="1"/>
      <c r="M29" s="1"/>
      <c r="N29" s="1"/>
      <c r="O29" s="10"/>
    </row>
    <row r="30" spans="1:15" ht="31.8" customHeight="1" x14ac:dyDescent="0.3">
      <c r="A30" s="1"/>
      <c r="B30" s="48" t="s">
        <v>71</v>
      </c>
      <c r="C30" s="64" t="s">
        <v>32</v>
      </c>
      <c r="D30" s="60" t="s">
        <v>109</v>
      </c>
      <c r="E30" s="119">
        <v>3</v>
      </c>
      <c r="F30" s="42">
        <v>1</v>
      </c>
      <c r="G30" s="97">
        <f t="shared" si="0"/>
        <v>2</v>
      </c>
      <c r="H30" s="42">
        <v>1</v>
      </c>
      <c r="I30" s="250"/>
      <c r="J30" s="251"/>
      <c r="K30" s="1"/>
      <c r="L30" s="1"/>
      <c r="M30" s="1"/>
      <c r="N30" s="1"/>
      <c r="O30" s="10"/>
    </row>
    <row r="31" spans="1:15" ht="31.8" customHeight="1" x14ac:dyDescent="0.3">
      <c r="A31" s="1"/>
      <c r="B31" s="48" t="s">
        <v>71</v>
      </c>
      <c r="C31" s="64" t="s">
        <v>33</v>
      </c>
      <c r="D31" s="60" t="s">
        <v>110</v>
      </c>
      <c r="E31" s="119">
        <v>3</v>
      </c>
      <c r="F31" s="42">
        <v>1</v>
      </c>
      <c r="G31" s="97">
        <f t="shared" si="0"/>
        <v>2</v>
      </c>
      <c r="H31" s="42">
        <v>1</v>
      </c>
      <c r="I31" s="250"/>
      <c r="J31" s="251"/>
      <c r="K31" s="1"/>
      <c r="L31" s="1"/>
      <c r="M31" s="1"/>
      <c r="N31" s="1"/>
      <c r="O31" s="10"/>
    </row>
    <row r="32" spans="1:15" ht="31.8" customHeight="1" x14ac:dyDescent="0.3">
      <c r="A32" s="1"/>
      <c r="B32" s="48" t="s">
        <v>71</v>
      </c>
      <c r="C32" s="64" t="s">
        <v>33</v>
      </c>
      <c r="D32" s="60" t="s">
        <v>111</v>
      </c>
      <c r="E32" s="119">
        <v>3</v>
      </c>
      <c r="F32" s="42">
        <v>1</v>
      </c>
      <c r="G32" s="97">
        <f t="shared" si="0"/>
        <v>2</v>
      </c>
      <c r="H32" s="42">
        <v>1</v>
      </c>
      <c r="I32" s="250"/>
      <c r="J32" s="251"/>
      <c r="K32" s="1"/>
      <c r="L32" s="1"/>
      <c r="M32" s="1"/>
      <c r="N32" s="1"/>
      <c r="O32" s="10"/>
    </row>
    <row r="33" spans="1:22" ht="31.8" customHeight="1" x14ac:dyDescent="0.3">
      <c r="A33" s="1"/>
      <c r="B33" s="48" t="s">
        <v>71</v>
      </c>
      <c r="C33" s="64" t="s">
        <v>33</v>
      </c>
      <c r="D33" s="60" t="s">
        <v>112</v>
      </c>
      <c r="E33" s="119">
        <v>2</v>
      </c>
      <c r="F33" s="42">
        <v>1</v>
      </c>
      <c r="G33" s="97">
        <f t="shared" si="0"/>
        <v>1</v>
      </c>
      <c r="H33" s="42">
        <v>1</v>
      </c>
      <c r="I33" s="250"/>
      <c r="J33" s="251"/>
      <c r="K33" s="1"/>
      <c r="L33" s="1"/>
      <c r="M33" s="1"/>
      <c r="N33" s="1"/>
      <c r="O33" s="10"/>
    </row>
    <row r="34" spans="1:22" ht="31.8" customHeight="1" x14ac:dyDescent="0.3">
      <c r="A34" s="1"/>
      <c r="B34" s="48" t="s">
        <v>71</v>
      </c>
      <c r="C34" s="64" t="s">
        <v>33</v>
      </c>
      <c r="D34" s="60" t="s">
        <v>113</v>
      </c>
      <c r="E34" s="119">
        <v>3</v>
      </c>
      <c r="F34" s="42">
        <v>1</v>
      </c>
      <c r="G34" s="97">
        <f t="shared" si="0"/>
        <v>2</v>
      </c>
      <c r="H34" s="42">
        <v>1</v>
      </c>
      <c r="I34" s="250"/>
      <c r="J34" s="251"/>
      <c r="K34" s="1"/>
      <c r="L34" s="1"/>
      <c r="M34" s="1"/>
      <c r="N34" s="1"/>
      <c r="O34" s="10"/>
    </row>
    <row r="35" spans="1:22" ht="31.8" customHeight="1" x14ac:dyDescent="0.3">
      <c r="A35" s="1"/>
      <c r="B35" s="48" t="s">
        <v>71</v>
      </c>
      <c r="C35" s="64" t="s">
        <v>38</v>
      </c>
      <c r="D35" s="60" t="s">
        <v>114</v>
      </c>
      <c r="E35" s="119">
        <v>3</v>
      </c>
      <c r="F35" s="42">
        <v>1</v>
      </c>
      <c r="G35" s="97">
        <f t="shared" si="0"/>
        <v>2</v>
      </c>
      <c r="H35" s="42">
        <v>1</v>
      </c>
      <c r="I35" s="250"/>
      <c r="J35" s="251"/>
      <c r="K35" s="1"/>
      <c r="L35" s="1"/>
      <c r="M35" s="1"/>
      <c r="N35" s="1"/>
      <c r="O35" s="10"/>
    </row>
    <row r="36" spans="1:22" ht="31.8" customHeight="1" x14ac:dyDescent="0.3">
      <c r="A36" s="1"/>
      <c r="B36" s="48" t="s">
        <v>71</v>
      </c>
      <c r="C36" s="64" t="s">
        <v>38</v>
      </c>
      <c r="D36" s="60" t="s">
        <v>115</v>
      </c>
      <c r="E36" s="119">
        <v>3</v>
      </c>
      <c r="F36" s="42">
        <v>1</v>
      </c>
      <c r="G36" s="97">
        <f t="shared" si="0"/>
        <v>2</v>
      </c>
      <c r="H36" s="42">
        <v>1</v>
      </c>
      <c r="I36" s="250"/>
      <c r="J36" s="251"/>
      <c r="K36" s="1"/>
      <c r="L36" s="1"/>
      <c r="M36" s="1"/>
      <c r="N36" s="1"/>
      <c r="O36" s="10"/>
    </row>
    <row r="37" spans="1:22" ht="31.8" customHeight="1" x14ac:dyDescent="0.3">
      <c r="A37" s="1"/>
      <c r="B37" s="48" t="s">
        <v>71</v>
      </c>
      <c r="C37" s="64" t="s">
        <v>39</v>
      </c>
      <c r="D37" s="60" t="s">
        <v>116</v>
      </c>
      <c r="E37" s="120">
        <v>3</v>
      </c>
      <c r="F37" s="42">
        <v>2</v>
      </c>
      <c r="G37" s="97">
        <f t="shared" si="0"/>
        <v>1</v>
      </c>
      <c r="H37" s="42">
        <v>2</v>
      </c>
      <c r="I37" s="250"/>
      <c r="J37" s="251"/>
      <c r="K37" s="1"/>
      <c r="L37" s="1"/>
      <c r="M37" s="1"/>
      <c r="N37" s="1"/>
      <c r="O37" s="10"/>
    </row>
    <row r="38" spans="1:22" ht="31.8" customHeight="1" x14ac:dyDescent="0.3">
      <c r="A38" s="1"/>
      <c r="B38" s="48" t="s">
        <v>71</v>
      </c>
      <c r="C38" s="64" t="s">
        <v>39</v>
      </c>
      <c r="D38" s="60" t="s">
        <v>117</v>
      </c>
      <c r="E38" s="120">
        <v>3</v>
      </c>
      <c r="F38" s="42">
        <v>2</v>
      </c>
      <c r="G38" s="97">
        <f t="shared" si="0"/>
        <v>1</v>
      </c>
      <c r="H38" s="42">
        <v>2</v>
      </c>
      <c r="I38" s="250"/>
      <c r="J38" s="251"/>
      <c r="K38" s="1"/>
      <c r="L38" s="1"/>
      <c r="M38" s="1"/>
      <c r="N38" s="1"/>
      <c r="O38" s="10"/>
    </row>
    <row r="39" spans="1:22" ht="31.8" customHeight="1" x14ac:dyDescent="0.3">
      <c r="A39" s="1"/>
      <c r="B39" s="48" t="s">
        <v>71</v>
      </c>
      <c r="C39" s="64" t="s">
        <v>42</v>
      </c>
      <c r="D39" s="60" t="s">
        <v>118</v>
      </c>
      <c r="E39" s="119">
        <v>3</v>
      </c>
      <c r="F39" s="42">
        <v>1</v>
      </c>
      <c r="G39" s="97">
        <f t="shared" si="0"/>
        <v>2</v>
      </c>
      <c r="H39" s="42">
        <v>1</v>
      </c>
      <c r="I39" s="250"/>
      <c r="J39" s="251"/>
      <c r="K39" s="1"/>
      <c r="L39" s="1"/>
      <c r="M39" s="1"/>
      <c r="N39" s="1"/>
      <c r="O39" s="10"/>
    </row>
    <row r="40" spans="1:22" ht="31.8" customHeight="1" x14ac:dyDescent="0.3">
      <c r="A40" s="1"/>
      <c r="B40" s="48" t="s">
        <v>71</v>
      </c>
      <c r="C40" s="64" t="s">
        <v>42</v>
      </c>
      <c r="D40" s="60" t="s">
        <v>119</v>
      </c>
      <c r="E40" s="119">
        <v>2</v>
      </c>
      <c r="F40" s="42">
        <v>1</v>
      </c>
      <c r="G40" s="97">
        <f t="shared" si="0"/>
        <v>1</v>
      </c>
      <c r="H40" s="42">
        <v>1</v>
      </c>
      <c r="I40" s="250"/>
      <c r="J40" s="251"/>
      <c r="K40" s="1"/>
      <c r="L40" s="1"/>
      <c r="M40" s="1"/>
      <c r="N40" s="1"/>
      <c r="O40" s="10"/>
    </row>
    <row r="41" spans="1:22" s="96" customFormat="1" ht="31.8" customHeight="1" x14ac:dyDescent="0.3">
      <c r="A41" s="1"/>
      <c r="B41" s="48" t="s">
        <v>71</v>
      </c>
      <c r="C41" s="64" t="s">
        <v>45</v>
      </c>
      <c r="D41" s="60" t="s">
        <v>120</v>
      </c>
      <c r="E41" s="121">
        <v>3</v>
      </c>
      <c r="F41" s="42">
        <v>2</v>
      </c>
      <c r="G41" s="97">
        <f t="shared" si="0"/>
        <v>1</v>
      </c>
      <c r="H41" s="42">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42">
        <v>1</v>
      </c>
      <c r="G42" s="97">
        <f>($E42-$F42)</f>
        <v>2</v>
      </c>
      <c r="H42" s="42">
        <v>1</v>
      </c>
      <c r="I42" s="250"/>
      <c r="J42" s="251"/>
      <c r="K42" s="1"/>
      <c r="L42" s="1"/>
      <c r="M42" s="1"/>
      <c r="N42" s="1"/>
      <c r="O42" s="10"/>
    </row>
    <row r="43" spans="1:22" ht="31.8" customHeight="1" x14ac:dyDescent="0.3">
      <c r="A43" s="1"/>
      <c r="B43" s="48" t="s">
        <v>71</v>
      </c>
      <c r="C43" s="64" t="s">
        <v>47</v>
      </c>
      <c r="D43" s="60" t="s">
        <v>121</v>
      </c>
      <c r="E43" s="119">
        <v>3</v>
      </c>
      <c r="F43" s="42">
        <v>1</v>
      </c>
      <c r="G43" s="97">
        <f t="shared" si="0"/>
        <v>2</v>
      </c>
      <c r="H43" s="42">
        <v>1</v>
      </c>
      <c r="I43" s="250"/>
      <c r="J43" s="251"/>
      <c r="K43" s="1"/>
      <c r="L43" s="1"/>
      <c r="M43" s="1"/>
      <c r="N43" s="1"/>
      <c r="O43" s="10"/>
    </row>
    <row r="44" spans="1:22" ht="31.8" customHeight="1" x14ac:dyDescent="0.3">
      <c r="A44" s="1"/>
      <c r="B44" s="48" t="s">
        <v>71</v>
      </c>
      <c r="C44" s="64" t="s">
        <v>50</v>
      </c>
      <c r="D44" s="60" t="s">
        <v>51</v>
      </c>
      <c r="E44" s="119">
        <v>2</v>
      </c>
      <c r="F44" s="42">
        <v>1</v>
      </c>
      <c r="G44" s="97">
        <f t="shared" si="0"/>
        <v>1</v>
      </c>
      <c r="H44" s="42">
        <v>1</v>
      </c>
      <c r="I44" s="250"/>
      <c r="J44" s="251"/>
      <c r="K44" s="1"/>
      <c r="L44" s="1"/>
      <c r="M44" s="1"/>
      <c r="N44" s="1"/>
      <c r="O44" s="10"/>
    </row>
    <row r="45" spans="1:22" ht="31.8" customHeight="1" x14ac:dyDescent="0.3">
      <c r="A45" s="1"/>
      <c r="B45" s="48" t="s">
        <v>71</v>
      </c>
      <c r="C45" s="64" t="s">
        <v>50</v>
      </c>
      <c r="D45" s="60" t="s">
        <v>53</v>
      </c>
      <c r="E45" s="119">
        <v>2</v>
      </c>
      <c r="F45" s="42">
        <v>1</v>
      </c>
      <c r="G45" s="97">
        <f t="shared" si="0"/>
        <v>1</v>
      </c>
      <c r="H45" s="42">
        <v>1</v>
      </c>
      <c r="I45" s="250"/>
      <c r="J45" s="251"/>
      <c r="K45" s="1"/>
      <c r="L45" s="1"/>
      <c r="M45" s="1"/>
      <c r="N45" s="1"/>
      <c r="O45" s="10"/>
    </row>
    <row r="46" spans="1:22" ht="31.8" customHeight="1" x14ac:dyDescent="0.3">
      <c r="A46" s="1"/>
      <c r="B46" s="48" t="s">
        <v>71</v>
      </c>
      <c r="C46" s="64" t="s">
        <v>50</v>
      </c>
      <c r="D46" s="60" t="s">
        <v>55</v>
      </c>
      <c r="E46" s="119">
        <v>3</v>
      </c>
      <c r="F46" s="42">
        <v>1</v>
      </c>
      <c r="G46" s="97">
        <f t="shared" si="0"/>
        <v>2</v>
      </c>
      <c r="H46" s="42">
        <v>1</v>
      </c>
      <c r="I46" s="250"/>
      <c r="J46" s="251"/>
      <c r="K46" s="1"/>
      <c r="L46" s="1"/>
      <c r="M46" s="1"/>
      <c r="N46" s="1"/>
      <c r="O46" s="10"/>
    </row>
    <row r="47" spans="1:22" ht="31.8" customHeight="1" x14ac:dyDescent="0.3">
      <c r="A47" s="1"/>
      <c r="B47" s="48" t="s">
        <v>71</v>
      </c>
      <c r="C47" s="64" t="s">
        <v>57</v>
      </c>
      <c r="D47" s="62" t="s">
        <v>58</v>
      </c>
      <c r="E47" s="119">
        <v>2</v>
      </c>
      <c r="F47" s="42">
        <v>1</v>
      </c>
      <c r="G47" s="97">
        <f t="shared" si="0"/>
        <v>1</v>
      </c>
      <c r="H47" s="42">
        <v>1</v>
      </c>
      <c r="I47" s="250"/>
      <c r="J47" s="251"/>
      <c r="K47" s="1"/>
      <c r="L47" s="1"/>
      <c r="M47" s="1"/>
      <c r="N47" s="1"/>
      <c r="O47" s="10"/>
    </row>
    <row r="48" spans="1:22" ht="31.8" customHeight="1" x14ac:dyDescent="0.3">
      <c r="A48" s="1"/>
      <c r="B48" s="64" t="s">
        <v>31</v>
      </c>
      <c r="C48" s="64" t="s">
        <v>70</v>
      </c>
      <c r="D48" s="55" t="s">
        <v>60</v>
      </c>
      <c r="E48" s="119">
        <v>2</v>
      </c>
      <c r="F48" s="42">
        <v>1</v>
      </c>
      <c r="G48" s="97">
        <f t="shared" si="0"/>
        <v>1</v>
      </c>
      <c r="H48" s="42">
        <v>1</v>
      </c>
      <c r="I48" s="250"/>
      <c r="J48" s="251"/>
      <c r="K48" s="1"/>
      <c r="L48" s="1"/>
      <c r="M48" s="1"/>
      <c r="N48" s="1"/>
      <c r="O48" s="10"/>
    </row>
    <row r="49" spans="1:15" ht="31.8" customHeight="1" x14ac:dyDescent="0.3">
      <c r="A49" s="1"/>
      <c r="B49" s="64" t="s">
        <v>31</v>
      </c>
      <c r="C49" s="64" t="s">
        <v>70</v>
      </c>
      <c r="D49" s="55" t="s">
        <v>62</v>
      </c>
      <c r="E49" s="119">
        <v>2</v>
      </c>
      <c r="F49" s="42">
        <v>1</v>
      </c>
      <c r="G49" s="97">
        <f t="shared" si="0"/>
        <v>1</v>
      </c>
      <c r="H49" s="42">
        <v>1</v>
      </c>
      <c r="I49" s="250"/>
      <c r="J49" s="251"/>
      <c r="K49" s="1"/>
      <c r="L49" s="1"/>
      <c r="M49" s="1"/>
      <c r="N49" s="1"/>
      <c r="O49" s="10"/>
    </row>
    <row r="50" spans="1:15" ht="31.8" customHeight="1" x14ac:dyDescent="0.3">
      <c r="A50" s="1"/>
      <c r="B50" s="64" t="s">
        <v>31</v>
      </c>
      <c r="C50" s="64" t="s">
        <v>70</v>
      </c>
      <c r="D50" s="55" t="s">
        <v>64</v>
      </c>
      <c r="E50" s="119">
        <v>2</v>
      </c>
      <c r="F50" s="42">
        <v>1</v>
      </c>
      <c r="G50" s="97">
        <f t="shared" si="0"/>
        <v>1</v>
      </c>
      <c r="H50" s="42">
        <v>1</v>
      </c>
      <c r="I50" s="250"/>
      <c r="J50" s="251"/>
      <c r="K50" s="1"/>
      <c r="L50" s="1"/>
      <c r="M50" s="1"/>
      <c r="N50" s="1"/>
      <c r="O50" s="10"/>
    </row>
    <row r="51" spans="1:15" ht="31.8" customHeight="1" x14ac:dyDescent="0.3">
      <c r="A51" s="1"/>
      <c r="B51" s="64" t="s">
        <v>31</v>
      </c>
      <c r="C51" s="64" t="s">
        <v>70</v>
      </c>
      <c r="D51" s="55" t="s">
        <v>66</v>
      </c>
      <c r="E51" s="119">
        <v>3</v>
      </c>
      <c r="F51" s="42">
        <v>1</v>
      </c>
      <c r="G51" s="97">
        <f t="shared" si="0"/>
        <v>2</v>
      </c>
      <c r="H51" s="42">
        <v>1</v>
      </c>
      <c r="I51" s="250"/>
      <c r="J51" s="251"/>
      <c r="K51" s="1"/>
      <c r="L51" s="1"/>
      <c r="M51" s="1"/>
      <c r="N51" s="1"/>
      <c r="O51" s="10"/>
    </row>
    <row r="52" spans="1:15" ht="31.8" customHeight="1" thickBot="1" x14ac:dyDescent="0.35">
      <c r="A52" s="1"/>
      <c r="B52" s="64" t="s">
        <v>31</v>
      </c>
      <c r="C52" s="64" t="s">
        <v>70</v>
      </c>
      <c r="D52" s="55" t="s">
        <v>68</v>
      </c>
      <c r="E52" s="122">
        <v>2</v>
      </c>
      <c r="F52" s="42">
        <v>1</v>
      </c>
      <c r="G52" s="124">
        <f t="shared" si="0"/>
        <v>1</v>
      </c>
      <c r="H52" s="42">
        <v>1</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1.1153846153846154</v>
      </c>
      <c r="G53" s="132"/>
      <c r="H53" s="130">
        <f>AVERAGE(H27:H52)</f>
        <v>1.1153846153846154</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V99"/>
  <sheetViews>
    <sheetView topLeftCell="A46" zoomScale="110" zoomScaleNormal="110" workbookViewId="0">
      <selection activeCell="F31" sqref="F31"/>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199</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222</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235</v>
      </c>
      <c r="D7" s="16"/>
      <c r="E7" s="39" t="s">
        <v>20</v>
      </c>
      <c r="F7" s="203" t="s">
        <v>295</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t="s">
        <v>293</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294</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8">
        <v>1</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8">
        <v>1</v>
      </c>
      <c r="I36" s="250"/>
      <c r="J36" s="251"/>
      <c r="K36" s="1"/>
      <c r="L36" s="1"/>
      <c r="M36" s="1"/>
      <c r="N36" s="1"/>
      <c r="O36" s="10"/>
    </row>
    <row r="37" spans="1:22" ht="31.8" customHeight="1" x14ac:dyDescent="0.3">
      <c r="A37" s="1"/>
      <c r="B37" s="48" t="s">
        <v>71</v>
      </c>
      <c r="C37" s="64" t="s">
        <v>39</v>
      </c>
      <c r="D37" s="60" t="s">
        <v>116</v>
      </c>
      <c r="E37" s="120">
        <v>3</v>
      </c>
      <c r="F37" s="98">
        <v>2</v>
      </c>
      <c r="G37" s="97">
        <f t="shared" si="0"/>
        <v>1</v>
      </c>
      <c r="H37" s="98">
        <v>2</v>
      </c>
      <c r="I37" s="250"/>
      <c r="J37" s="251"/>
      <c r="K37" s="1"/>
      <c r="L37" s="1"/>
      <c r="M37" s="1"/>
      <c r="N37" s="1"/>
      <c r="O37" s="10"/>
    </row>
    <row r="38" spans="1:22" ht="31.8" customHeight="1" x14ac:dyDescent="0.3">
      <c r="A38" s="1"/>
      <c r="B38" s="48" t="s">
        <v>71</v>
      </c>
      <c r="C38" s="64" t="s">
        <v>39</v>
      </c>
      <c r="D38" s="60" t="s">
        <v>117</v>
      </c>
      <c r="E38" s="120">
        <v>3</v>
      </c>
      <c r="F38" s="98">
        <v>3</v>
      </c>
      <c r="G38" s="97">
        <f t="shared" si="0"/>
        <v>0</v>
      </c>
      <c r="H38" s="98">
        <v>3</v>
      </c>
      <c r="I38" s="250"/>
      <c r="J38" s="251"/>
      <c r="K38" s="1"/>
      <c r="L38" s="1"/>
      <c r="M38" s="1"/>
      <c r="N38" s="1"/>
      <c r="O38" s="10"/>
    </row>
    <row r="39" spans="1:22" ht="31.8" customHeight="1" x14ac:dyDescent="0.3">
      <c r="A39" s="1"/>
      <c r="B39" s="48" t="s">
        <v>71</v>
      </c>
      <c r="C39" s="64" t="s">
        <v>42</v>
      </c>
      <c r="D39" s="60" t="s">
        <v>118</v>
      </c>
      <c r="E39" s="119">
        <v>3</v>
      </c>
      <c r="F39" s="98">
        <v>3</v>
      </c>
      <c r="G39" s="97">
        <f t="shared" si="0"/>
        <v>0</v>
      </c>
      <c r="H39" s="98">
        <v>3</v>
      </c>
      <c r="I39" s="250"/>
      <c r="J39" s="251"/>
      <c r="K39" s="1"/>
      <c r="L39" s="1"/>
      <c r="M39" s="1"/>
      <c r="N39" s="1"/>
      <c r="O39" s="10"/>
    </row>
    <row r="40" spans="1:22" ht="31.8" customHeight="1" x14ac:dyDescent="0.3">
      <c r="A40" s="1"/>
      <c r="B40" s="48" t="s">
        <v>71</v>
      </c>
      <c r="C40" s="64" t="s">
        <v>42</v>
      </c>
      <c r="D40" s="60" t="s">
        <v>119</v>
      </c>
      <c r="E40" s="119">
        <v>2</v>
      </c>
      <c r="F40" s="98">
        <v>3</v>
      </c>
      <c r="G40" s="97">
        <f t="shared" si="0"/>
        <v>-1</v>
      </c>
      <c r="H40" s="98">
        <v>3</v>
      </c>
      <c r="I40" s="250"/>
      <c r="J40" s="251"/>
      <c r="K40" s="1"/>
      <c r="L40" s="1"/>
      <c r="M40" s="1"/>
      <c r="N40" s="1"/>
      <c r="O40" s="10"/>
    </row>
    <row r="41" spans="1:22" s="96" customFormat="1" ht="31.8" customHeight="1" x14ac:dyDescent="0.3">
      <c r="A41" s="1"/>
      <c r="B41" s="48" t="s">
        <v>71</v>
      </c>
      <c r="C41" s="64" t="s">
        <v>45</v>
      </c>
      <c r="D41" s="60" t="s">
        <v>120</v>
      </c>
      <c r="E41" s="121">
        <v>3</v>
      </c>
      <c r="F41" s="100">
        <v>3</v>
      </c>
      <c r="G41" s="97">
        <f t="shared" si="0"/>
        <v>0</v>
      </c>
      <c r="H41" s="100">
        <v>3</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2</v>
      </c>
      <c r="G42" s="97">
        <f>($E42-$F42)</f>
        <v>1</v>
      </c>
      <c r="H42" s="98">
        <v>2</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8">
        <v>1</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8">
        <v>1</v>
      </c>
      <c r="I46" s="250"/>
      <c r="J46" s="251"/>
      <c r="K46" s="1"/>
      <c r="L46" s="1"/>
      <c r="M46" s="1"/>
      <c r="N46" s="1"/>
      <c r="O46" s="10"/>
    </row>
    <row r="47" spans="1:22" ht="31.8" customHeight="1" x14ac:dyDescent="0.3">
      <c r="A47" s="1"/>
      <c r="B47" s="48" t="s">
        <v>71</v>
      </c>
      <c r="C47" s="64" t="s">
        <v>57</v>
      </c>
      <c r="D47" s="62" t="s">
        <v>58</v>
      </c>
      <c r="E47" s="119">
        <v>2</v>
      </c>
      <c r="F47" s="100">
        <v>2</v>
      </c>
      <c r="G47" s="97">
        <f t="shared" si="0"/>
        <v>0</v>
      </c>
      <c r="H47" s="100">
        <v>2</v>
      </c>
      <c r="I47" s="250"/>
      <c r="J47" s="251"/>
      <c r="K47" s="1"/>
      <c r="L47" s="1"/>
      <c r="M47" s="1"/>
      <c r="N47" s="1"/>
      <c r="O47" s="10"/>
    </row>
    <row r="48" spans="1:22" ht="31.8" customHeight="1" x14ac:dyDescent="0.3">
      <c r="A48" s="1"/>
      <c r="B48" s="64" t="s">
        <v>31</v>
      </c>
      <c r="C48" s="64" t="s">
        <v>70</v>
      </c>
      <c r="D48" s="55" t="s">
        <v>60</v>
      </c>
      <c r="E48" s="119">
        <v>2</v>
      </c>
      <c r="F48" s="98">
        <v>2</v>
      </c>
      <c r="G48" s="97">
        <f t="shared" si="0"/>
        <v>0</v>
      </c>
      <c r="H48" s="98">
        <v>2</v>
      </c>
      <c r="I48" s="250"/>
      <c r="J48" s="251"/>
      <c r="K48" s="1"/>
      <c r="L48" s="1"/>
      <c r="M48" s="1"/>
      <c r="N48" s="1"/>
      <c r="O48" s="10"/>
    </row>
    <row r="49" spans="1:15" ht="31.8" customHeight="1" x14ac:dyDescent="0.3">
      <c r="A49" s="1"/>
      <c r="B49" s="64" t="s">
        <v>31</v>
      </c>
      <c r="C49" s="64" t="s">
        <v>70</v>
      </c>
      <c r="D49" s="55" t="s">
        <v>62</v>
      </c>
      <c r="E49" s="119">
        <v>2</v>
      </c>
      <c r="F49" s="98">
        <v>2</v>
      </c>
      <c r="G49" s="97">
        <f t="shared" si="0"/>
        <v>0</v>
      </c>
      <c r="H49" s="98">
        <v>2</v>
      </c>
      <c r="I49" s="250"/>
      <c r="J49" s="251"/>
      <c r="K49" s="1"/>
      <c r="L49" s="1"/>
      <c r="M49" s="1"/>
      <c r="N49" s="1"/>
      <c r="O49" s="10"/>
    </row>
    <row r="50" spans="1:15" ht="31.8" customHeight="1" x14ac:dyDescent="0.3">
      <c r="A50" s="1"/>
      <c r="B50" s="64" t="s">
        <v>31</v>
      </c>
      <c r="C50" s="64" t="s">
        <v>70</v>
      </c>
      <c r="D50" s="55" t="s">
        <v>64</v>
      </c>
      <c r="E50" s="119">
        <v>2</v>
      </c>
      <c r="F50" s="98">
        <v>3</v>
      </c>
      <c r="G50" s="97">
        <f t="shared" si="0"/>
        <v>-1</v>
      </c>
      <c r="H50" s="98">
        <v>3</v>
      </c>
      <c r="I50" s="250"/>
      <c r="J50" s="251"/>
      <c r="K50" s="1"/>
      <c r="L50" s="1"/>
      <c r="M50" s="1"/>
      <c r="N50" s="1"/>
      <c r="O50" s="10"/>
    </row>
    <row r="51" spans="1:15" ht="31.8" customHeight="1" x14ac:dyDescent="0.3">
      <c r="A51" s="1"/>
      <c r="B51" s="64" t="s">
        <v>31</v>
      </c>
      <c r="C51" s="64" t="s">
        <v>70</v>
      </c>
      <c r="D51" s="55" t="s">
        <v>66</v>
      </c>
      <c r="E51" s="119">
        <v>3</v>
      </c>
      <c r="F51" s="98">
        <v>3</v>
      </c>
      <c r="G51" s="97">
        <f t="shared" si="0"/>
        <v>0</v>
      </c>
      <c r="H51" s="98">
        <v>3</v>
      </c>
      <c r="I51" s="250"/>
      <c r="J51" s="251"/>
      <c r="K51" s="1"/>
      <c r="L51" s="1"/>
      <c r="M51" s="1"/>
      <c r="N51" s="1"/>
      <c r="O51" s="10"/>
    </row>
    <row r="52" spans="1:15" ht="31.8" customHeight="1" thickBot="1" x14ac:dyDescent="0.35">
      <c r="A52" s="1"/>
      <c r="B52" s="64" t="s">
        <v>31</v>
      </c>
      <c r="C52" s="64" t="s">
        <v>70</v>
      </c>
      <c r="D52" s="55" t="s">
        <v>68</v>
      </c>
      <c r="E52" s="122">
        <v>2</v>
      </c>
      <c r="F52" s="123">
        <v>3</v>
      </c>
      <c r="G52" s="124">
        <f t="shared" si="0"/>
        <v>-1</v>
      </c>
      <c r="H52" s="123">
        <v>3</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1.7307692307692308</v>
      </c>
      <c r="G53" s="132"/>
      <c r="H53" s="130">
        <f>AVERAGE(H27:H52)</f>
        <v>1.7307692307692308</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V99"/>
  <sheetViews>
    <sheetView zoomScale="110" zoomScaleNormal="110" workbookViewId="0">
      <selection activeCell="I27" sqref="I27:J27"/>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198</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221</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245</v>
      </c>
      <c r="D7" s="16"/>
      <c r="E7" s="39" t="s">
        <v>20</v>
      </c>
      <c r="F7" s="168" t="s">
        <v>244</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t="s">
        <v>246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247</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3</v>
      </c>
      <c r="G27" s="196">
        <f>($E27-$F27)</f>
        <v>0</v>
      </c>
      <c r="H27" s="98">
        <v>3</v>
      </c>
      <c r="I27" s="262"/>
      <c r="J27" s="263"/>
      <c r="K27" s="1"/>
      <c r="L27" s="1"/>
      <c r="M27" s="1"/>
      <c r="N27" s="1"/>
      <c r="O27" s="10"/>
    </row>
    <row r="28" spans="1:15" ht="31.8" customHeight="1" x14ac:dyDescent="0.3">
      <c r="A28" s="1"/>
      <c r="B28" s="48" t="s">
        <v>71</v>
      </c>
      <c r="C28" s="64" t="s">
        <v>32</v>
      </c>
      <c r="D28" s="60" t="s">
        <v>107</v>
      </c>
      <c r="E28" s="119">
        <v>2</v>
      </c>
      <c r="F28" s="98">
        <v>2</v>
      </c>
      <c r="G28" s="196">
        <f t="shared" ref="G28:G52" si="0">($E28-$F28)</f>
        <v>0</v>
      </c>
      <c r="H28" s="98">
        <v>2</v>
      </c>
      <c r="I28" s="250"/>
      <c r="J28" s="251"/>
      <c r="K28" s="1"/>
      <c r="L28" s="1"/>
      <c r="M28" s="1"/>
      <c r="N28" s="1"/>
      <c r="O28" s="10"/>
    </row>
    <row r="29" spans="1:15" ht="31.8" customHeight="1" x14ac:dyDescent="0.3">
      <c r="A29" s="1"/>
      <c r="B29" s="48" t="s">
        <v>71</v>
      </c>
      <c r="C29" s="64" t="s">
        <v>32</v>
      </c>
      <c r="D29" s="60" t="s">
        <v>108</v>
      </c>
      <c r="E29" s="119">
        <v>3</v>
      </c>
      <c r="F29" s="98">
        <v>2</v>
      </c>
      <c r="G29" s="196">
        <f t="shared" si="0"/>
        <v>1</v>
      </c>
      <c r="H29" s="98">
        <v>2</v>
      </c>
      <c r="I29" s="250"/>
      <c r="J29" s="251"/>
      <c r="K29" s="1"/>
      <c r="L29" s="1"/>
      <c r="M29" s="1"/>
      <c r="N29" s="1"/>
      <c r="O29" s="10"/>
    </row>
    <row r="30" spans="1:15" ht="31.8" customHeight="1" x14ac:dyDescent="0.3">
      <c r="A30" s="1"/>
      <c r="B30" s="48" t="s">
        <v>71</v>
      </c>
      <c r="C30" s="64" t="s">
        <v>32</v>
      </c>
      <c r="D30" s="60" t="s">
        <v>109</v>
      </c>
      <c r="E30" s="119">
        <v>3</v>
      </c>
      <c r="F30" s="98">
        <v>3</v>
      </c>
      <c r="G30" s="196">
        <f t="shared" si="0"/>
        <v>0</v>
      </c>
      <c r="H30" s="98">
        <v>3</v>
      </c>
      <c r="I30" s="250"/>
      <c r="J30" s="251"/>
      <c r="K30" s="1"/>
      <c r="L30" s="1"/>
      <c r="M30" s="1"/>
      <c r="N30" s="1"/>
      <c r="O30" s="10"/>
    </row>
    <row r="31" spans="1:15" ht="31.8" customHeight="1" x14ac:dyDescent="0.3">
      <c r="A31" s="1"/>
      <c r="B31" s="48" t="s">
        <v>71</v>
      </c>
      <c r="C31" s="64" t="s">
        <v>33</v>
      </c>
      <c r="D31" s="60" t="s">
        <v>110</v>
      </c>
      <c r="E31" s="119">
        <v>3</v>
      </c>
      <c r="F31" s="98">
        <v>1</v>
      </c>
      <c r="G31" s="196">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196">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196">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196">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196">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196">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196">
        <f t="shared" si="0"/>
        <v>2</v>
      </c>
      <c r="H37" s="98">
        <v>1</v>
      </c>
      <c r="I37" s="250"/>
      <c r="J37" s="251"/>
      <c r="K37" s="1"/>
      <c r="L37" s="1"/>
      <c r="M37" s="1"/>
      <c r="N37" s="1"/>
      <c r="O37" s="10"/>
    </row>
    <row r="38" spans="1:22" ht="31.8" customHeight="1" x14ac:dyDescent="0.3">
      <c r="A38" s="1"/>
      <c r="B38" s="48" t="s">
        <v>71</v>
      </c>
      <c r="C38" s="64" t="s">
        <v>39</v>
      </c>
      <c r="D38" s="60" t="s">
        <v>117</v>
      </c>
      <c r="E38" s="120">
        <v>3</v>
      </c>
      <c r="F38" s="98">
        <v>1</v>
      </c>
      <c r="G38" s="196">
        <f t="shared" si="0"/>
        <v>2</v>
      </c>
      <c r="H38" s="98">
        <v>1</v>
      </c>
      <c r="I38" s="250"/>
      <c r="J38" s="251"/>
      <c r="K38" s="1"/>
      <c r="L38" s="1"/>
      <c r="M38" s="1"/>
      <c r="N38" s="1"/>
      <c r="O38" s="10"/>
    </row>
    <row r="39" spans="1:22" ht="31.8" customHeight="1" x14ac:dyDescent="0.3">
      <c r="A39" s="1"/>
      <c r="B39" s="48" t="s">
        <v>71</v>
      </c>
      <c r="C39" s="64" t="s">
        <v>42</v>
      </c>
      <c r="D39" s="60" t="s">
        <v>118</v>
      </c>
      <c r="E39" s="119">
        <v>3</v>
      </c>
      <c r="F39" s="98">
        <v>1</v>
      </c>
      <c r="G39" s="196">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196">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196">
        <f t="shared" si="0"/>
        <v>2</v>
      </c>
      <c r="H41" s="100">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196">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196">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196">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196">
        <f t="shared" si="0"/>
        <v>1</v>
      </c>
      <c r="H45" s="98">
        <v>1</v>
      </c>
      <c r="I45" s="250"/>
      <c r="J45" s="251"/>
      <c r="K45" s="1"/>
      <c r="L45" s="1"/>
      <c r="M45" s="1"/>
      <c r="N45" s="1"/>
      <c r="O45" s="10"/>
    </row>
    <row r="46" spans="1:22" ht="31.8" customHeight="1" x14ac:dyDescent="0.3">
      <c r="A46" s="1"/>
      <c r="B46" s="48" t="s">
        <v>71</v>
      </c>
      <c r="C46" s="64" t="s">
        <v>50</v>
      </c>
      <c r="D46" s="60" t="s">
        <v>55</v>
      </c>
      <c r="E46" s="119">
        <v>3</v>
      </c>
      <c r="F46" s="98">
        <v>1</v>
      </c>
      <c r="G46" s="196">
        <f t="shared" si="0"/>
        <v>2</v>
      </c>
      <c r="H46" s="98">
        <v>1</v>
      </c>
      <c r="I46" s="250"/>
      <c r="J46" s="251"/>
      <c r="K46" s="1"/>
      <c r="L46" s="1"/>
      <c r="M46" s="1"/>
      <c r="N46" s="1"/>
      <c r="O46" s="10"/>
    </row>
    <row r="47" spans="1:22" ht="31.8" customHeight="1" x14ac:dyDescent="0.3">
      <c r="A47" s="1"/>
      <c r="B47" s="48" t="s">
        <v>71</v>
      </c>
      <c r="C47" s="64" t="s">
        <v>57</v>
      </c>
      <c r="D47" s="62" t="s">
        <v>58</v>
      </c>
      <c r="E47" s="119">
        <v>2</v>
      </c>
      <c r="F47" s="100">
        <v>1</v>
      </c>
      <c r="G47" s="196">
        <f t="shared" si="0"/>
        <v>1</v>
      </c>
      <c r="H47" s="100">
        <v>1</v>
      </c>
      <c r="I47" s="250"/>
      <c r="J47" s="251"/>
      <c r="K47" s="1"/>
      <c r="L47" s="1"/>
      <c r="M47" s="1"/>
      <c r="N47" s="1"/>
      <c r="O47" s="10"/>
    </row>
    <row r="48" spans="1:22" ht="31.8" customHeight="1" x14ac:dyDescent="0.3">
      <c r="A48" s="1"/>
      <c r="B48" s="64" t="s">
        <v>31</v>
      </c>
      <c r="C48" s="64" t="s">
        <v>70</v>
      </c>
      <c r="D48" s="55" t="s">
        <v>60</v>
      </c>
      <c r="E48" s="119">
        <v>2</v>
      </c>
      <c r="F48" s="98">
        <v>2</v>
      </c>
      <c r="G48" s="196">
        <f t="shared" si="0"/>
        <v>0</v>
      </c>
      <c r="H48" s="98">
        <v>2</v>
      </c>
      <c r="I48" s="250"/>
      <c r="J48" s="251"/>
      <c r="K48" s="1"/>
      <c r="L48" s="1"/>
      <c r="M48" s="1"/>
      <c r="N48" s="1"/>
      <c r="O48" s="10"/>
    </row>
    <row r="49" spans="1:15" ht="31.8" customHeight="1" x14ac:dyDescent="0.3">
      <c r="A49" s="1"/>
      <c r="B49" s="64" t="s">
        <v>31</v>
      </c>
      <c r="C49" s="64" t="s">
        <v>70</v>
      </c>
      <c r="D49" s="55" t="s">
        <v>62</v>
      </c>
      <c r="E49" s="119">
        <v>2</v>
      </c>
      <c r="F49" s="98">
        <v>1</v>
      </c>
      <c r="G49" s="196">
        <f t="shared" si="0"/>
        <v>1</v>
      </c>
      <c r="H49" s="98">
        <v>1</v>
      </c>
      <c r="I49" s="250"/>
      <c r="J49" s="251"/>
      <c r="K49" s="1"/>
      <c r="L49" s="1"/>
      <c r="M49" s="1"/>
      <c r="N49" s="1"/>
      <c r="O49" s="10"/>
    </row>
    <row r="50" spans="1:15" ht="31.8" customHeight="1" x14ac:dyDescent="0.3">
      <c r="A50" s="1"/>
      <c r="B50" s="64" t="s">
        <v>31</v>
      </c>
      <c r="C50" s="64" t="s">
        <v>70</v>
      </c>
      <c r="D50" s="55" t="s">
        <v>64</v>
      </c>
      <c r="E50" s="119">
        <v>2</v>
      </c>
      <c r="F50" s="98">
        <v>2</v>
      </c>
      <c r="G50" s="196">
        <f t="shared" si="0"/>
        <v>0</v>
      </c>
      <c r="H50" s="98">
        <v>2</v>
      </c>
      <c r="I50" s="250"/>
      <c r="J50" s="251"/>
      <c r="K50" s="1"/>
      <c r="L50" s="1"/>
      <c r="M50" s="1"/>
      <c r="N50" s="1"/>
      <c r="O50" s="10"/>
    </row>
    <row r="51" spans="1:15" ht="31.8" customHeight="1" x14ac:dyDescent="0.3">
      <c r="A51" s="1"/>
      <c r="B51" s="64" t="s">
        <v>31</v>
      </c>
      <c r="C51" s="64" t="s">
        <v>70</v>
      </c>
      <c r="D51" s="55" t="s">
        <v>66</v>
      </c>
      <c r="E51" s="119">
        <v>3</v>
      </c>
      <c r="F51" s="98">
        <v>2</v>
      </c>
      <c r="G51" s="196">
        <f t="shared" si="0"/>
        <v>1</v>
      </c>
      <c r="H51" s="98">
        <v>2</v>
      </c>
      <c r="I51" s="250"/>
      <c r="J51" s="251"/>
      <c r="K51" s="1"/>
      <c r="L51" s="1"/>
      <c r="M51" s="1"/>
      <c r="N51" s="1"/>
      <c r="O51" s="10"/>
    </row>
    <row r="52" spans="1:15" ht="31.8" customHeight="1" thickBot="1" x14ac:dyDescent="0.35">
      <c r="A52" s="1"/>
      <c r="B52" s="64" t="s">
        <v>31</v>
      </c>
      <c r="C52" s="64" t="s">
        <v>70</v>
      </c>
      <c r="D52" s="55" t="s">
        <v>68</v>
      </c>
      <c r="E52" s="122">
        <v>2</v>
      </c>
      <c r="F52" s="123">
        <v>2</v>
      </c>
      <c r="G52" s="202">
        <f t="shared" si="0"/>
        <v>0</v>
      </c>
      <c r="H52" s="123">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1.3846153846153846</v>
      </c>
      <c r="G53" s="132"/>
      <c r="H53" s="130">
        <f>AVERAGE(H27:H52)</f>
        <v>1.3846153846153846</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V99"/>
  <sheetViews>
    <sheetView zoomScale="110" zoomScaleNormal="110" workbookViewId="0">
      <selection activeCell="B12" sqref="B12:E1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197</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220</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245</v>
      </c>
      <c r="D7" s="16"/>
      <c r="E7" s="39" t="s">
        <v>20</v>
      </c>
      <c r="F7" s="168">
        <v>2</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292</v>
      </c>
      <c r="G23" s="245"/>
      <c r="H23" s="245"/>
      <c r="I23" s="245"/>
      <c r="J23" s="246"/>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196">
        <f>($E27-$F27)</f>
        <v>2</v>
      </c>
      <c r="H27" s="98">
        <v>1</v>
      </c>
      <c r="I27" s="262"/>
      <c r="J27" s="263"/>
      <c r="K27" s="1"/>
      <c r="L27" s="1"/>
      <c r="M27" s="1"/>
      <c r="N27" s="1"/>
      <c r="O27" s="10"/>
    </row>
    <row r="28" spans="1:15" ht="31.8" customHeight="1" x14ac:dyDescent="0.3">
      <c r="A28" s="1"/>
      <c r="B28" s="48" t="s">
        <v>71</v>
      </c>
      <c r="C28" s="64" t="s">
        <v>32</v>
      </c>
      <c r="D28" s="60" t="s">
        <v>107</v>
      </c>
      <c r="E28" s="119">
        <v>2</v>
      </c>
      <c r="F28" s="98">
        <v>1</v>
      </c>
      <c r="G28" s="196">
        <f t="shared" ref="G28:G52" si="0">($E28-$F28)</f>
        <v>1</v>
      </c>
      <c r="H28" s="98">
        <v>1</v>
      </c>
      <c r="I28" s="250"/>
      <c r="J28" s="251"/>
      <c r="K28" s="1"/>
      <c r="L28" s="1"/>
      <c r="M28" s="1"/>
      <c r="N28" s="1"/>
      <c r="O28" s="10"/>
    </row>
    <row r="29" spans="1:15" ht="31.8" customHeight="1" x14ac:dyDescent="0.3">
      <c r="A29" s="1"/>
      <c r="B29" s="48" t="s">
        <v>71</v>
      </c>
      <c r="C29" s="64" t="s">
        <v>32</v>
      </c>
      <c r="D29" s="60" t="s">
        <v>108</v>
      </c>
      <c r="E29" s="119">
        <v>3</v>
      </c>
      <c r="F29" s="98">
        <v>1</v>
      </c>
      <c r="G29" s="196">
        <f t="shared" si="0"/>
        <v>2</v>
      </c>
      <c r="H29" s="98">
        <v>1</v>
      </c>
      <c r="I29" s="250"/>
      <c r="J29" s="251"/>
      <c r="K29" s="1"/>
      <c r="L29" s="1"/>
      <c r="M29" s="1"/>
      <c r="N29" s="1"/>
      <c r="O29" s="10"/>
    </row>
    <row r="30" spans="1:15" ht="31.8" customHeight="1" x14ac:dyDescent="0.3">
      <c r="A30" s="1"/>
      <c r="B30" s="48" t="s">
        <v>71</v>
      </c>
      <c r="C30" s="64" t="s">
        <v>32</v>
      </c>
      <c r="D30" s="60" t="s">
        <v>109</v>
      </c>
      <c r="E30" s="119">
        <v>3</v>
      </c>
      <c r="F30" s="98">
        <v>1</v>
      </c>
      <c r="G30" s="196">
        <f t="shared" si="0"/>
        <v>2</v>
      </c>
      <c r="H30" s="98">
        <v>1</v>
      </c>
      <c r="I30" s="250"/>
      <c r="J30" s="251"/>
      <c r="K30" s="1"/>
      <c r="L30" s="1"/>
      <c r="M30" s="1"/>
      <c r="N30" s="1"/>
      <c r="O30" s="10"/>
    </row>
    <row r="31" spans="1:15" ht="31.8" customHeight="1" x14ac:dyDescent="0.3">
      <c r="A31" s="1"/>
      <c r="B31" s="177" t="s">
        <v>71</v>
      </c>
      <c r="C31" s="178" t="s">
        <v>33</v>
      </c>
      <c r="D31" s="179" t="s">
        <v>110</v>
      </c>
      <c r="E31" s="180">
        <v>3</v>
      </c>
      <c r="F31" s="181">
        <v>3</v>
      </c>
      <c r="G31" s="195">
        <f t="shared" si="0"/>
        <v>0</v>
      </c>
      <c r="H31" s="181">
        <v>3</v>
      </c>
      <c r="I31" s="250"/>
      <c r="J31" s="251"/>
      <c r="K31" s="1"/>
      <c r="L31" s="1"/>
      <c r="M31" s="1"/>
      <c r="N31" s="1"/>
      <c r="O31" s="10"/>
    </row>
    <row r="32" spans="1:15" ht="31.8" customHeight="1" x14ac:dyDescent="0.3">
      <c r="A32" s="1"/>
      <c r="B32" s="177" t="s">
        <v>71</v>
      </c>
      <c r="C32" s="178" t="s">
        <v>33</v>
      </c>
      <c r="D32" s="179" t="s">
        <v>111</v>
      </c>
      <c r="E32" s="180">
        <v>3</v>
      </c>
      <c r="F32" s="181">
        <v>3</v>
      </c>
      <c r="G32" s="195">
        <f t="shared" si="0"/>
        <v>0</v>
      </c>
      <c r="H32" s="181">
        <v>3</v>
      </c>
      <c r="I32" s="250"/>
      <c r="J32" s="251"/>
      <c r="K32" s="1"/>
      <c r="L32" s="1"/>
      <c r="M32" s="1"/>
      <c r="N32" s="1"/>
      <c r="O32" s="10"/>
    </row>
    <row r="33" spans="1:22" ht="31.8" customHeight="1" x14ac:dyDescent="0.3">
      <c r="A33" s="1"/>
      <c r="B33" s="177" t="s">
        <v>71</v>
      </c>
      <c r="C33" s="178" t="s">
        <v>33</v>
      </c>
      <c r="D33" s="179" t="s">
        <v>112</v>
      </c>
      <c r="E33" s="180">
        <v>2</v>
      </c>
      <c r="F33" s="181">
        <v>3</v>
      </c>
      <c r="G33" s="195">
        <f t="shared" si="0"/>
        <v>-1</v>
      </c>
      <c r="H33" s="181">
        <v>3</v>
      </c>
      <c r="I33" s="250"/>
      <c r="J33" s="251"/>
      <c r="K33" s="1"/>
      <c r="L33" s="1"/>
      <c r="M33" s="1"/>
      <c r="N33" s="1"/>
      <c r="O33" s="10"/>
    </row>
    <row r="34" spans="1:22" ht="31.8" customHeight="1" x14ac:dyDescent="0.3">
      <c r="A34" s="1"/>
      <c r="B34" s="177" t="s">
        <v>71</v>
      </c>
      <c r="C34" s="178" t="s">
        <v>33</v>
      </c>
      <c r="D34" s="179" t="s">
        <v>113</v>
      </c>
      <c r="E34" s="180">
        <v>3</v>
      </c>
      <c r="F34" s="181">
        <v>3</v>
      </c>
      <c r="G34" s="195">
        <f t="shared" si="0"/>
        <v>0</v>
      </c>
      <c r="H34" s="181">
        <v>3</v>
      </c>
      <c r="I34" s="250"/>
      <c r="J34" s="251"/>
      <c r="K34" s="1"/>
      <c r="L34" s="1"/>
      <c r="M34" s="1"/>
      <c r="N34" s="1"/>
      <c r="O34" s="10"/>
    </row>
    <row r="35" spans="1:22" ht="31.8" customHeight="1" x14ac:dyDescent="0.3">
      <c r="A35" s="1"/>
      <c r="B35" s="48" t="s">
        <v>71</v>
      </c>
      <c r="C35" s="64" t="s">
        <v>38</v>
      </c>
      <c r="D35" s="60" t="s">
        <v>114</v>
      </c>
      <c r="E35" s="119">
        <v>3</v>
      </c>
      <c r="F35" s="98">
        <v>1</v>
      </c>
      <c r="G35" s="196">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196">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196">
        <f t="shared" si="0"/>
        <v>2</v>
      </c>
      <c r="H37" s="98">
        <v>1</v>
      </c>
      <c r="I37" s="250"/>
      <c r="J37" s="251"/>
      <c r="K37" s="1"/>
      <c r="L37" s="1"/>
      <c r="M37" s="1"/>
      <c r="N37" s="1"/>
      <c r="O37" s="10"/>
    </row>
    <row r="38" spans="1:22" ht="31.8" customHeight="1" x14ac:dyDescent="0.3">
      <c r="A38" s="1"/>
      <c r="B38" s="48" t="s">
        <v>71</v>
      </c>
      <c r="C38" s="64" t="s">
        <v>39</v>
      </c>
      <c r="D38" s="60" t="s">
        <v>117</v>
      </c>
      <c r="E38" s="120">
        <v>3</v>
      </c>
      <c r="F38" s="98">
        <v>2</v>
      </c>
      <c r="G38" s="196">
        <f t="shared" si="0"/>
        <v>1</v>
      </c>
      <c r="H38" s="98">
        <v>2</v>
      </c>
      <c r="I38" s="250"/>
      <c r="J38" s="251"/>
      <c r="K38" s="1"/>
      <c r="L38" s="1"/>
      <c r="M38" s="1"/>
      <c r="N38" s="1"/>
      <c r="O38" s="10"/>
    </row>
    <row r="39" spans="1:22" ht="31.8" customHeight="1" x14ac:dyDescent="0.3">
      <c r="A39" s="1"/>
      <c r="B39" s="48" t="s">
        <v>71</v>
      </c>
      <c r="C39" s="64" t="s">
        <v>42</v>
      </c>
      <c r="D39" s="60" t="s">
        <v>118</v>
      </c>
      <c r="E39" s="119">
        <v>3</v>
      </c>
      <c r="F39" s="98">
        <v>1</v>
      </c>
      <c r="G39" s="196">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196">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196">
        <f t="shared" si="0"/>
        <v>2</v>
      </c>
      <c r="H41" s="100">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196">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196">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196">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196">
        <f t="shared" si="0"/>
        <v>1</v>
      </c>
      <c r="H45" s="98">
        <v>1</v>
      </c>
      <c r="I45" s="250"/>
      <c r="J45" s="251"/>
      <c r="K45" s="1"/>
      <c r="L45" s="1"/>
      <c r="M45" s="1"/>
      <c r="N45" s="1"/>
      <c r="O45" s="10"/>
    </row>
    <row r="46" spans="1:22" ht="31.8" customHeight="1" x14ac:dyDescent="0.3">
      <c r="A46" s="1"/>
      <c r="B46" s="48" t="s">
        <v>71</v>
      </c>
      <c r="C46" s="64" t="s">
        <v>50</v>
      </c>
      <c r="D46" s="60" t="s">
        <v>55</v>
      </c>
      <c r="E46" s="119">
        <v>3</v>
      </c>
      <c r="F46" s="98">
        <v>1</v>
      </c>
      <c r="G46" s="196">
        <f t="shared" si="0"/>
        <v>2</v>
      </c>
      <c r="H46" s="98">
        <v>1</v>
      </c>
      <c r="I46" s="250"/>
      <c r="J46" s="251"/>
      <c r="K46" s="1"/>
      <c r="L46" s="1"/>
      <c r="M46" s="1"/>
      <c r="N46" s="1"/>
      <c r="O46" s="10"/>
    </row>
    <row r="47" spans="1:22" ht="31.8" customHeight="1" x14ac:dyDescent="0.3">
      <c r="A47" s="1"/>
      <c r="B47" s="48" t="s">
        <v>71</v>
      </c>
      <c r="C47" s="64" t="s">
        <v>57</v>
      </c>
      <c r="D47" s="62" t="s">
        <v>58</v>
      </c>
      <c r="E47" s="119">
        <v>2</v>
      </c>
      <c r="F47" s="100">
        <v>1</v>
      </c>
      <c r="G47" s="196">
        <f t="shared" si="0"/>
        <v>1</v>
      </c>
      <c r="H47" s="100">
        <v>1</v>
      </c>
      <c r="I47" s="250"/>
      <c r="J47" s="251"/>
      <c r="K47" s="1"/>
      <c r="L47" s="1"/>
      <c r="M47" s="1"/>
      <c r="N47" s="1"/>
      <c r="O47" s="10"/>
    </row>
    <row r="48" spans="1:22" ht="31.8" customHeight="1" x14ac:dyDescent="0.3">
      <c r="A48" s="1"/>
      <c r="B48" s="64" t="s">
        <v>31</v>
      </c>
      <c r="C48" s="64" t="s">
        <v>70</v>
      </c>
      <c r="D48" s="55" t="s">
        <v>60</v>
      </c>
      <c r="E48" s="119">
        <v>2</v>
      </c>
      <c r="F48" s="98">
        <v>1</v>
      </c>
      <c r="G48" s="196">
        <f t="shared" si="0"/>
        <v>1</v>
      </c>
      <c r="H48" s="98">
        <v>1</v>
      </c>
      <c r="I48" s="250"/>
      <c r="J48" s="251"/>
      <c r="K48" s="1"/>
      <c r="L48" s="1"/>
      <c r="M48" s="1"/>
      <c r="N48" s="1"/>
      <c r="O48" s="10"/>
    </row>
    <row r="49" spans="1:15" ht="31.8" customHeight="1" x14ac:dyDescent="0.3">
      <c r="A49" s="1"/>
      <c r="B49" s="64" t="s">
        <v>31</v>
      </c>
      <c r="C49" s="64" t="s">
        <v>70</v>
      </c>
      <c r="D49" s="55" t="s">
        <v>62</v>
      </c>
      <c r="E49" s="119">
        <v>2</v>
      </c>
      <c r="F49" s="98">
        <v>1</v>
      </c>
      <c r="G49" s="196">
        <f t="shared" si="0"/>
        <v>1</v>
      </c>
      <c r="H49" s="98">
        <v>1</v>
      </c>
      <c r="I49" s="250"/>
      <c r="J49" s="251"/>
      <c r="K49" s="1"/>
      <c r="L49" s="1"/>
      <c r="M49" s="1"/>
      <c r="N49" s="1"/>
      <c r="O49" s="10"/>
    </row>
    <row r="50" spans="1:15" ht="31.8" customHeight="1" x14ac:dyDescent="0.3">
      <c r="A50" s="1"/>
      <c r="B50" s="64" t="s">
        <v>31</v>
      </c>
      <c r="C50" s="64" t="s">
        <v>70</v>
      </c>
      <c r="D50" s="55" t="s">
        <v>64</v>
      </c>
      <c r="E50" s="119">
        <v>2</v>
      </c>
      <c r="F50" s="98">
        <v>1</v>
      </c>
      <c r="G50" s="196">
        <f t="shared" si="0"/>
        <v>1</v>
      </c>
      <c r="H50" s="98">
        <v>1</v>
      </c>
      <c r="I50" s="250"/>
      <c r="J50" s="251"/>
      <c r="K50" s="1"/>
      <c r="L50" s="1"/>
      <c r="M50" s="1"/>
      <c r="N50" s="1"/>
      <c r="O50" s="10"/>
    </row>
    <row r="51" spans="1:15" ht="31.8" customHeight="1" x14ac:dyDescent="0.3">
      <c r="A51" s="1"/>
      <c r="B51" s="64" t="s">
        <v>31</v>
      </c>
      <c r="C51" s="64" t="s">
        <v>70</v>
      </c>
      <c r="D51" s="55" t="s">
        <v>66</v>
      </c>
      <c r="E51" s="119">
        <v>3</v>
      </c>
      <c r="F51" s="98">
        <v>1</v>
      </c>
      <c r="G51" s="196">
        <f t="shared" si="0"/>
        <v>2</v>
      </c>
      <c r="H51" s="98">
        <v>1</v>
      </c>
      <c r="I51" s="250"/>
      <c r="J51" s="251"/>
      <c r="K51" s="1"/>
      <c r="L51" s="1"/>
      <c r="M51" s="1"/>
      <c r="N51" s="1"/>
      <c r="O51" s="10"/>
    </row>
    <row r="52" spans="1:15" ht="31.8" customHeight="1" thickBot="1" x14ac:dyDescent="0.35">
      <c r="A52" s="1"/>
      <c r="B52" s="64" t="s">
        <v>31</v>
      </c>
      <c r="C52" s="64" t="s">
        <v>70</v>
      </c>
      <c r="D52" s="55" t="s">
        <v>68</v>
      </c>
      <c r="E52" s="122">
        <v>2</v>
      </c>
      <c r="F52" s="123">
        <v>1</v>
      </c>
      <c r="G52" s="202">
        <f t="shared" si="0"/>
        <v>1</v>
      </c>
      <c r="H52" s="123">
        <v>1</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1.3461538461538463</v>
      </c>
      <c r="G53" s="132"/>
      <c r="H53" s="130">
        <f>AVERAGE(H27:H52)</f>
        <v>1.3461538461538463</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V99"/>
  <sheetViews>
    <sheetView topLeftCell="D25" zoomScale="110" zoomScaleNormal="110" workbookViewId="0">
      <selection activeCell="H42" sqref="H4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196</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219</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179</v>
      </c>
      <c r="D7" s="16"/>
      <c r="E7" s="39" t="s">
        <v>20</v>
      </c>
      <c r="F7" s="168" t="s">
        <v>243</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2</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t="s">
        <v>277</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t="s">
        <v>276</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278</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2</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29</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1</v>
      </c>
      <c r="G27" s="196">
        <f>($E27-$F27)</f>
        <v>3</v>
      </c>
      <c r="H27" s="98">
        <v>1</v>
      </c>
      <c r="I27" s="262"/>
      <c r="J27" s="263"/>
      <c r="K27" s="1"/>
      <c r="L27" s="1"/>
      <c r="M27" s="1"/>
      <c r="N27" s="1"/>
      <c r="O27" s="10"/>
    </row>
    <row r="28" spans="1:15" ht="31.8" customHeight="1" x14ac:dyDescent="0.3">
      <c r="A28" s="1"/>
      <c r="B28" s="48" t="s">
        <v>71</v>
      </c>
      <c r="C28" s="64" t="s">
        <v>32</v>
      </c>
      <c r="D28" s="60" t="s">
        <v>107</v>
      </c>
      <c r="E28" s="119">
        <v>3</v>
      </c>
      <c r="F28" s="98">
        <v>1</v>
      </c>
      <c r="G28" s="196">
        <f t="shared" ref="G28:G52" si="0">($E28-$F28)</f>
        <v>2</v>
      </c>
      <c r="H28" s="98">
        <v>1</v>
      </c>
      <c r="I28" s="250"/>
      <c r="J28" s="251"/>
      <c r="K28" s="1"/>
      <c r="L28" s="1"/>
      <c r="M28" s="1"/>
      <c r="N28" s="1"/>
      <c r="O28" s="10"/>
    </row>
    <row r="29" spans="1:15" ht="31.8" customHeight="1" x14ac:dyDescent="0.3">
      <c r="A29" s="1"/>
      <c r="B29" s="48" t="s">
        <v>71</v>
      </c>
      <c r="C29" s="64" t="s">
        <v>32</v>
      </c>
      <c r="D29" s="60" t="s">
        <v>108</v>
      </c>
      <c r="E29" s="119">
        <v>3</v>
      </c>
      <c r="F29" s="98">
        <v>1</v>
      </c>
      <c r="G29" s="196">
        <f t="shared" si="0"/>
        <v>2</v>
      </c>
      <c r="H29" s="98">
        <v>1</v>
      </c>
      <c r="I29" s="250"/>
      <c r="J29" s="251"/>
      <c r="K29" s="1"/>
      <c r="L29" s="1"/>
      <c r="M29" s="1"/>
      <c r="N29" s="1"/>
      <c r="O29" s="10"/>
    </row>
    <row r="30" spans="1:15" ht="31.8" customHeight="1" x14ac:dyDescent="0.3">
      <c r="A30" s="1"/>
      <c r="B30" s="48" t="s">
        <v>71</v>
      </c>
      <c r="C30" s="64" t="s">
        <v>32</v>
      </c>
      <c r="D30" s="60" t="s">
        <v>109</v>
      </c>
      <c r="E30" s="119">
        <v>4</v>
      </c>
      <c r="F30" s="98">
        <v>1</v>
      </c>
      <c r="G30" s="196">
        <f t="shared" si="0"/>
        <v>3</v>
      </c>
      <c r="H30" s="98">
        <v>1</v>
      </c>
      <c r="I30" s="250"/>
      <c r="J30" s="251"/>
      <c r="K30" s="1"/>
      <c r="L30" s="1"/>
      <c r="M30" s="1"/>
      <c r="N30" s="1"/>
      <c r="O30" s="10"/>
    </row>
    <row r="31" spans="1:15" ht="31.8" customHeight="1" x14ac:dyDescent="0.3">
      <c r="A31" s="1"/>
      <c r="B31" s="48" t="s">
        <v>71</v>
      </c>
      <c r="C31" s="64" t="s">
        <v>33</v>
      </c>
      <c r="D31" s="60" t="s">
        <v>110</v>
      </c>
      <c r="E31" s="119">
        <v>3</v>
      </c>
      <c r="F31" s="98">
        <v>1</v>
      </c>
      <c r="G31" s="196">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196">
        <f t="shared" si="0"/>
        <v>2</v>
      </c>
      <c r="H32" s="98">
        <v>1</v>
      </c>
      <c r="I32" s="250"/>
      <c r="J32" s="251"/>
      <c r="K32" s="1"/>
      <c r="L32" s="1"/>
      <c r="M32" s="1"/>
      <c r="N32" s="1"/>
      <c r="O32" s="10"/>
    </row>
    <row r="33" spans="1:22" ht="31.8" customHeight="1" x14ac:dyDescent="0.3">
      <c r="A33" s="1"/>
      <c r="B33" s="48" t="s">
        <v>71</v>
      </c>
      <c r="C33" s="64" t="s">
        <v>33</v>
      </c>
      <c r="D33" s="60" t="s">
        <v>112</v>
      </c>
      <c r="E33" s="119">
        <v>3</v>
      </c>
      <c r="F33" s="98">
        <v>1</v>
      </c>
      <c r="G33" s="196">
        <f t="shared" si="0"/>
        <v>2</v>
      </c>
      <c r="H33" s="98">
        <v>1</v>
      </c>
      <c r="I33" s="250"/>
      <c r="J33" s="251"/>
      <c r="K33" s="1"/>
      <c r="L33" s="1"/>
      <c r="M33" s="1"/>
      <c r="N33" s="1"/>
      <c r="O33" s="10"/>
    </row>
    <row r="34" spans="1:22" ht="31.8" customHeight="1" x14ac:dyDescent="0.3">
      <c r="A34" s="1"/>
      <c r="B34" s="48" t="s">
        <v>71</v>
      </c>
      <c r="C34" s="64" t="s">
        <v>33</v>
      </c>
      <c r="D34" s="60" t="s">
        <v>113</v>
      </c>
      <c r="E34" s="119">
        <v>4</v>
      </c>
      <c r="F34" s="98">
        <v>2</v>
      </c>
      <c r="G34" s="196">
        <f t="shared" si="0"/>
        <v>2</v>
      </c>
      <c r="H34" s="98">
        <v>2</v>
      </c>
      <c r="I34" s="250"/>
      <c r="J34" s="251"/>
      <c r="K34" s="1"/>
      <c r="L34" s="1"/>
      <c r="M34" s="1"/>
      <c r="N34" s="1"/>
      <c r="O34" s="10"/>
    </row>
    <row r="35" spans="1:22" ht="31.8" customHeight="1" x14ac:dyDescent="0.3">
      <c r="A35" s="1"/>
      <c r="B35" s="48" t="s">
        <v>71</v>
      </c>
      <c r="C35" s="64" t="s">
        <v>38</v>
      </c>
      <c r="D35" s="60" t="s">
        <v>114</v>
      </c>
      <c r="E35" s="119">
        <v>4</v>
      </c>
      <c r="F35" s="98">
        <v>1</v>
      </c>
      <c r="G35" s="196">
        <f t="shared" si="0"/>
        <v>3</v>
      </c>
      <c r="H35" s="98">
        <v>1</v>
      </c>
      <c r="I35" s="250"/>
      <c r="J35" s="251"/>
      <c r="K35" s="1"/>
      <c r="L35" s="1"/>
      <c r="M35" s="1"/>
      <c r="N35" s="1"/>
      <c r="O35" s="10"/>
    </row>
    <row r="36" spans="1:22" ht="31.8" customHeight="1" x14ac:dyDescent="0.3">
      <c r="A36" s="1"/>
      <c r="B36" s="48" t="s">
        <v>71</v>
      </c>
      <c r="C36" s="64" t="s">
        <v>38</v>
      </c>
      <c r="D36" s="60" t="s">
        <v>115</v>
      </c>
      <c r="E36" s="119">
        <v>4</v>
      </c>
      <c r="F36" s="98">
        <v>1</v>
      </c>
      <c r="G36" s="196">
        <f t="shared" si="0"/>
        <v>3</v>
      </c>
      <c r="H36" s="98">
        <v>1</v>
      </c>
      <c r="I36" s="250"/>
      <c r="J36" s="251"/>
      <c r="K36" s="1"/>
      <c r="L36" s="1"/>
      <c r="M36" s="1"/>
      <c r="N36" s="1"/>
      <c r="O36" s="10"/>
    </row>
    <row r="37" spans="1:22" ht="31.8" customHeight="1" x14ac:dyDescent="0.3">
      <c r="A37" s="1"/>
      <c r="B37" s="48" t="s">
        <v>71</v>
      </c>
      <c r="C37" s="64" t="s">
        <v>39</v>
      </c>
      <c r="D37" s="60" t="s">
        <v>116</v>
      </c>
      <c r="E37" s="120">
        <v>4</v>
      </c>
      <c r="F37" s="98">
        <v>2</v>
      </c>
      <c r="G37" s="196">
        <f t="shared" si="0"/>
        <v>2</v>
      </c>
      <c r="H37" s="98">
        <v>2</v>
      </c>
      <c r="I37" s="250"/>
      <c r="J37" s="251"/>
      <c r="K37" s="1"/>
      <c r="L37" s="1"/>
      <c r="M37" s="1"/>
      <c r="N37" s="1"/>
      <c r="O37" s="10"/>
    </row>
    <row r="38" spans="1:22" ht="31.8" customHeight="1" x14ac:dyDescent="0.3">
      <c r="A38" s="1"/>
      <c r="B38" s="48" t="s">
        <v>71</v>
      </c>
      <c r="C38" s="64" t="s">
        <v>39</v>
      </c>
      <c r="D38" s="60" t="s">
        <v>117</v>
      </c>
      <c r="E38" s="120">
        <v>4</v>
      </c>
      <c r="F38" s="98">
        <v>2</v>
      </c>
      <c r="G38" s="196">
        <f t="shared" si="0"/>
        <v>2</v>
      </c>
      <c r="H38" s="98">
        <v>2</v>
      </c>
      <c r="I38" s="250"/>
      <c r="J38" s="251"/>
      <c r="K38" s="1"/>
      <c r="L38" s="1"/>
      <c r="M38" s="1"/>
      <c r="N38" s="1"/>
      <c r="O38" s="10"/>
    </row>
    <row r="39" spans="1:22" ht="31.8" customHeight="1" x14ac:dyDescent="0.3">
      <c r="A39" s="1"/>
      <c r="B39" s="177" t="s">
        <v>71</v>
      </c>
      <c r="C39" s="178" t="s">
        <v>42</v>
      </c>
      <c r="D39" s="179" t="s">
        <v>118</v>
      </c>
      <c r="E39" s="180">
        <v>3</v>
      </c>
      <c r="F39" s="181">
        <v>1</v>
      </c>
      <c r="G39" s="195">
        <f t="shared" si="0"/>
        <v>2</v>
      </c>
      <c r="H39" s="181">
        <v>2</v>
      </c>
      <c r="I39" s="250"/>
      <c r="J39" s="251"/>
      <c r="K39" s="1"/>
      <c r="L39" s="1"/>
      <c r="M39" s="1"/>
      <c r="N39" s="1"/>
      <c r="O39" s="10"/>
    </row>
    <row r="40" spans="1:22" ht="31.8" customHeight="1" x14ac:dyDescent="0.3">
      <c r="A40" s="1"/>
      <c r="B40" s="177" t="s">
        <v>71</v>
      </c>
      <c r="C40" s="178" t="s">
        <v>42</v>
      </c>
      <c r="D40" s="179" t="s">
        <v>119</v>
      </c>
      <c r="E40" s="180">
        <v>3</v>
      </c>
      <c r="F40" s="181">
        <v>1</v>
      </c>
      <c r="G40" s="195">
        <f t="shared" si="0"/>
        <v>2</v>
      </c>
      <c r="H40" s="181">
        <v>2</v>
      </c>
      <c r="I40" s="250"/>
      <c r="J40" s="251"/>
      <c r="K40" s="1"/>
      <c r="L40" s="1"/>
      <c r="M40" s="1"/>
      <c r="N40" s="1"/>
      <c r="O40" s="10"/>
    </row>
    <row r="41" spans="1:22" s="96" customFormat="1" ht="31.8" customHeight="1" x14ac:dyDescent="0.3">
      <c r="A41" s="1"/>
      <c r="B41" s="177" t="s">
        <v>71</v>
      </c>
      <c r="C41" s="178" t="s">
        <v>45</v>
      </c>
      <c r="D41" s="179" t="s">
        <v>120</v>
      </c>
      <c r="E41" s="180">
        <v>4</v>
      </c>
      <c r="F41" s="181">
        <v>2</v>
      </c>
      <c r="G41" s="195">
        <f t="shared" si="0"/>
        <v>2</v>
      </c>
      <c r="H41" s="181">
        <v>3</v>
      </c>
      <c r="I41" s="250"/>
      <c r="J41" s="251"/>
      <c r="K41" s="1"/>
      <c r="L41" s="1"/>
      <c r="M41" s="1"/>
      <c r="N41" s="1"/>
      <c r="O41" s="1"/>
      <c r="P41" s="95"/>
      <c r="Q41" s="95"/>
      <c r="R41" s="95"/>
      <c r="S41" s="95"/>
      <c r="T41" s="95"/>
      <c r="U41" s="95"/>
      <c r="V41" s="95"/>
    </row>
    <row r="42" spans="1:22" ht="31.8" customHeight="1" x14ac:dyDescent="0.3">
      <c r="A42" s="1"/>
      <c r="B42" s="177" t="s">
        <v>71</v>
      </c>
      <c r="C42" s="178" t="s">
        <v>47</v>
      </c>
      <c r="D42" s="179" t="s">
        <v>48</v>
      </c>
      <c r="E42" s="180">
        <v>4</v>
      </c>
      <c r="F42" s="181">
        <v>3</v>
      </c>
      <c r="G42" s="195">
        <f>($E42-$F42)</f>
        <v>1</v>
      </c>
      <c r="H42" s="181">
        <v>4</v>
      </c>
      <c r="I42" s="250"/>
      <c r="J42" s="251"/>
      <c r="K42" s="1"/>
      <c r="L42" s="1"/>
      <c r="M42" s="1"/>
      <c r="N42" s="1"/>
      <c r="O42" s="10"/>
    </row>
    <row r="43" spans="1:22" ht="31.8" customHeight="1" x14ac:dyDescent="0.3">
      <c r="A43" s="1"/>
      <c r="B43" s="177" t="s">
        <v>71</v>
      </c>
      <c r="C43" s="178" t="s">
        <v>47</v>
      </c>
      <c r="D43" s="179" t="s">
        <v>121</v>
      </c>
      <c r="E43" s="180">
        <v>4</v>
      </c>
      <c r="F43" s="181">
        <v>3</v>
      </c>
      <c r="G43" s="195">
        <f t="shared" si="0"/>
        <v>1</v>
      </c>
      <c r="H43" s="181">
        <v>4</v>
      </c>
      <c r="I43" s="250"/>
      <c r="J43" s="251"/>
      <c r="K43" s="1"/>
      <c r="L43" s="1"/>
      <c r="M43" s="1"/>
      <c r="N43" s="1"/>
      <c r="O43" s="10"/>
    </row>
    <row r="44" spans="1:22" ht="31.8" customHeight="1" x14ac:dyDescent="0.3">
      <c r="A44" s="1"/>
      <c r="B44" s="48" t="s">
        <v>71</v>
      </c>
      <c r="C44" s="64" t="s">
        <v>50</v>
      </c>
      <c r="D44" s="60" t="s">
        <v>51</v>
      </c>
      <c r="E44" s="119">
        <v>3</v>
      </c>
      <c r="F44" s="100">
        <v>1</v>
      </c>
      <c r="G44" s="196">
        <f t="shared" si="0"/>
        <v>2</v>
      </c>
      <c r="H44" s="100">
        <v>1</v>
      </c>
      <c r="I44" s="250"/>
      <c r="J44" s="251"/>
      <c r="K44" s="1"/>
      <c r="L44" s="1"/>
      <c r="M44" s="1"/>
      <c r="N44" s="1"/>
      <c r="O44" s="10"/>
    </row>
    <row r="45" spans="1:22" ht="31.8" customHeight="1" x14ac:dyDescent="0.3">
      <c r="A45" s="1"/>
      <c r="B45" s="48" t="s">
        <v>71</v>
      </c>
      <c r="C45" s="64" t="s">
        <v>50</v>
      </c>
      <c r="D45" s="60" t="s">
        <v>53</v>
      </c>
      <c r="E45" s="119">
        <v>3</v>
      </c>
      <c r="F45" s="98">
        <v>1</v>
      </c>
      <c r="G45" s="196">
        <f t="shared" si="0"/>
        <v>2</v>
      </c>
      <c r="H45" s="98">
        <v>1</v>
      </c>
      <c r="I45" s="250"/>
      <c r="J45" s="251"/>
      <c r="K45" s="1"/>
      <c r="L45" s="1"/>
      <c r="M45" s="1"/>
      <c r="N45" s="1"/>
      <c r="O45" s="10"/>
    </row>
    <row r="46" spans="1:22" ht="31.8" customHeight="1" x14ac:dyDescent="0.3">
      <c r="A46" s="1"/>
      <c r="B46" s="177" t="s">
        <v>71</v>
      </c>
      <c r="C46" s="178" t="s">
        <v>50</v>
      </c>
      <c r="D46" s="179" t="s">
        <v>55</v>
      </c>
      <c r="E46" s="180">
        <v>4</v>
      </c>
      <c r="F46" s="181">
        <v>1</v>
      </c>
      <c r="G46" s="195">
        <f t="shared" si="0"/>
        <v>3</v>
      </c>
      <c r="H46" s="181">
        <v>2</v>
      </c>
      <c r="I46" s="250"/>
      <c r="J46" s="251"/>
      <c r="K46" s="1"/>
      <c r="L46" s="1"/>
      <c r="M46" s="1"/>
      <c r="N46" s="1"/>
      <c r="O46" s="10"/>
    </row>
    <row r="47" spans="1:22" ht="31.8" customHeight="1" x14ac:dyDescent="0.3">
      <c r="A47" s="1"/>
      <c r="B47" s="48" t="s">
        <v>71</v>
      </c>
      <c r="C47" s="64" t="s">
        <v>57</v>
      </c>
      <c r="D47" s="62" t="s">
        <v>58</v>
      </c>
      <c r="E47" s="119">
        <v>3</v>
      </c>
      <c r="F47" s="100">
        <v>1</v>
      </c>
      <c r="G47" s="196">
        <f t="shared" si="0"/>
        <v>2</v>
      </c>
      <c r="H47" s="100">
        <v>1</v>
      </c>
      <c r="I47" s="250"/>
      <c r="J47" s="251"/>
      <c r="K47" s="1"/>
      <c r="L47" s="1"/>
      <c r="M47" s="1"/>
      <c r="N47" s="1"/>
      <c r="O47" s="10"/>
    </row>
    <row r="48" spans="1:22" ht="31.8" customHeight="1" x14ac:dyDescent="0.3">
      <c r="A48" s="1"/>
      <c r="B48" s="64" t="s">
        <v>31</v>
      </c>
      <c r="C48" s="64" t="s">
        <v>70</v>
      </c>
      <c r="D48" s="55" t="s">
        <v>60</v>
      </c>
      <c r="E48" s="119">
        <v>3</v>
      </c>
      <c r="F48" s="98">
        <v>1</v>
      </c>
      <c r="G48" s="196">
        <f t="shared" si="0"/>
        <v>2</v>
      </c>
      <c r="H48" s="98">
        <v>1</v>
      </c>
      <c r="I48" s="250"/>
      <c r="J48" s="251"/>
      <c r="K48" s="1"/>
      <c r="L48" s="1"/>
      <c r="M48" s="1"/>
      <c r="N48" s="1"/>
      <c r="O48" s="10"/>
    </row>
    <row r="49" spans="1:15" ht="31.8" customHeight="1" x14ac:dyDescent="0.3">
      <c r="A49" s="1"/>
      <c r="B49" s="64" t="s">
        <v>31</v>
      </c>
      <c r="C49" s="64" t="s">
        <v>70</v>
      </c>
      <c r="D49" s="55" t="s">
        <v>62</v>
      </c>
      <c r="E49" s="119">
        <v>3</v>
      </c>
      <c r="F49" s="98">
        <v>1</v>
      </c>
      <c r="G49" s="196">
        <f t="shared" si="0"/>
        <v>2</v>
      </c>
      <c r="H49" s="98">
        <v>1</v>
      </c>
      <c r="I49" s="250"/>
      <c r="J49" s="251"/>
      <c r="K49" s="1"/>
      <c r="L49" s="1"/>
      <c r="M49" s="1"/>
      <c r="N49" s="1"/>
      <c r="O49" s="10"/>
    </row>
    <row r="50" spans="1:15" ht="31.8" customHeight="1" x14ac:dyDescent="0.3">
      <c r="A50" s="1"/>
      <c r="B50" s="178" t="s">
        <v>31</v>
      </c>
      <c r="C50" s="178" t="s">
        <v>70</v>
      </c>
      <c r="D50" s="182" t="s">
        <v>64</v>
      </c>
      <c r="E50" s="180">
        <v>3</v>
      </c>
      <c r="F50" s="181">
        <v>2</v>
      </c>
      <c r="G50" s="195">
        <f t="shared" si="0"/>
        <v>1</v>
      </c>
      <c r="H50" s="181">
        <v>2</v>
      </c>
      <c r="I50" s="250"/>
      <c r="J50" s="251"/>
      <c r="K50" s="1"/>
      <c r="L50" s="1"/>
      <c r="M50" s="1"/>
      <c r="N50" s="1"/>
      <c r="O50" s="10"/>
    </row>
    <row r="51" spans="1:15" ht="31.8" customHeight="1" x14ac:dyDescent="0.3">
      <c r="A51" s="1"/>
      <c r="B51" s="178" t="s">
        <v>31</v>
      </c>
      <c r="C51" s="178" t="s">
        <v>70</v>
      </c>
      <c r="D51" s="182" t="s">
        <v>66</v>
      </c>
      <c r="E51" s="180">
        <v>4</v>
      </c>
      <c r="F51" s="181">
        <v>1</v>
      </c>
      <c r="G51" s="195">
        <f t="shared" si="0"/>
        <v>3</v>
      </c>
      <c r="H51" s="181">
        <v>2</v>
      </c>
      <c r="I51" s="250"/>
      <c r="J51" s="251"/>
      <c r="K51" s="1"/>
      <c r="L51" s="1"/>
      <c r="M51" s="1"/>
      <c r="N51" s="1"/>
      <c r="O51" s="10"/>
    </row>
    <row r="52" spans="1:15" ht="31.8" customHeight="1" thickBot="1" x14ac:dyDescent="0.35">
      <c r="A52" s="1"/>
      <c r="B52" s="64" t="s">
        <v>31</v>
      </c>
      <c r="C52" s="64" t="s">
        <v>70</v>
      </c>
      <c r="D52" s="55" t="s">
        <v>68</v>
      </c>
      <c r="E52" s="122">
        <v>3</v>
      </c>
      <c r="F52" s="123">
        <v>1</v>
      </c>
      <c r="G52" s="202">
        <f t="shared" si="0"/>
        <v>2</v>
      </c>
      <c r="H52" s="123">
        <v>1</v>
      </c>
      <c r="I52" s="268"/>
      <c r="J52" s="269"/>
      <c r="K52" s="1"/>
      <c r="L52" s="1"/>
      <c r="M52" s="1"/>
      <c r="N52" s="1"/>
      <c r="O52" s="10"/>
    </row>
    <row r="53" spans="1:15" ht="31.8" customHeight="1" thickBot="1" x14ac:dyDescent="0.35">
      <c r="A53" s="1"/>
      <c r="B53" s="264" t="s">
        <v>177</v>
      </c>
      <c r="C53" s="265"/>
      <c r="D53" s="265"/>
      <c r="E53" s="130">
        <f>AVERAGE(E27:E52)</f>
        <v>3.4615384615384617</v>
      </c>
      <c r="F53" s="131">
        <f>AVERAGE(F27:F52)</f>
        <v>1.3461538461538463</v>
      </c>
      <c r="G53" s="132"/>
      <c r="H53" s="130">
        <f>AVERAGE(H27:H52)</f>
        <v>1.6153846153846154</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V99"/>
  <sheetViews>
    <sheetView topLeftCell="A25" zoomScale="110" zoomScaleNormal="110" workbookViewId="0">
      <selection activeCell="B12" sqref="B12:E1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195</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218</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256</v>
      </c>
      <c r="D7" s="16"/>
      <c r="E7" s="39" t="s">
        <v>20</v>
      </c>
      <c r="F7" s="168">
        <v>2</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42144</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255</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9">
        <v>2</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9">
        <v>2</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9">
        <v>2</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9">
        <v>2</v>
      </c>
      <c r="I30" s="250"/>
      <c r="J30" s="251"/>
      <c r="K30" s="1"/>
      <c r="L30" s="1"/>
      <c r="M30" s="1"/>
      <c r="N30" s="1"/>
      <c r="O30" s="10"/>
    </row>
    <row r="31" spans="1:15" ht="31.8" customHeight="1" x14ac:dyDescent="0.3">
      <c r="A31" s="1"/>
      <c r="B31" s="48" t="s">
        <v>71</v>
      </c>
      <c r="C31" s="64" t="s">
        <v>33</v>
      </c>
      <c r="D31" s="60" t="s">
        <v>110</v>
      </c>
      <c r="E31" s="119">
        <v>3</v>
      </c>
      <c r="F31" s="98">
        <v>3</v>
      </c>
      <c r="G31" s="97">
        <f t="shared" si="0"/>
        <v>0</v>
      </c>
      <c r="H31" s="99">
        <v>2</v>
      </c>
      <c r="I31" s="250"/>
      <c r="J31" s="251"/>
      <c r="K31" s="1"/>
      <c r="L31" s="1"/>
      <c r="M31" s="1"/>
      <c r="N31" s="1"/>
      <c r="O31" s="10"/>
    </row>
    <row r="32" spans="1:15" ht="31.8" customHeight="1" x14ac:dyDescent="0.3">
      <c r="A32" s="1"/>
      <c r="B32" s="48" t="s">
        <v>71</v>
      </c>
      <c r="C32" s="64" t="s">
        <v>33</v>
      </c>
      <c r="D32" s="60" t="s">
        <v>111</v>
      </c>
      <c r="E32" s="119">
        <v>3</v>
      </c>
      <c r="F32" s="98">
        <v>3</v>
      </c>
      <c r="G32" s="97">
        <f t="shared" si="0"/>
        <v>0</v>
      </c>
      <c r="H32" s="99">
        <v>2</v>
      </c>
      <c r="I32" s="250"/>
      <c r="J32" s="251"/>
      <c r="K32" s="1"/>
      <c r="L32" s="1"/>
      <c r="M32" s="1"/>
      <c r="N32" s="1"/>
      <c r="O32" s="10"/>
    </row>
    <row r="33" spans="1:22" ht="31.8" customHeight="1" x14ac:dyDescent="0.3">
      <c r="A33" s="1"/>
      <c r="B33" s="48" t="s">
        <v>71</v>
      </c>
      <c r="C33" s="64" t="s">
        <v>33</v>
      </c>
      <c r="D33" s="60" t="s">
        <v>112</v>
      </c>
      <c r="E33" s="119">
        <v>2</v>
      </c>
      <c r="F33" s="98">
        <v>3</v>
      </c>
      <c r="G33" s="97">
        <f t="shared" si="0"/>
        <v>-1</v>
      </c>
      <c r="H33" s="99">
        <v>2</v>
      </c>
      <c r="I33" s="250"/>
      <c r="J33" s="251"/>
      <c r="K33" s="1"/>
      <c r="L33" s="1"/>
      <c r="M33" s="1"/>
      <c r="N33" s="1"/>
      <c r="O33" s="10"/>
    </row>
    <row r="34" spans="1:22" ht="31.8" customHeight="1" x14ac:dyDescent="0.3">
      <c r="A34" s="1"/>
      <c r="B34" s="48" t="s">
        <v>71</v>
      </c>
      <c r="C34" s="64" t="s">
        <v>33</v>
      </c>
      <c r="D34" s="60" t="s">
        <v>113</v>
      </c>
      <c r="E34" s="119">
        <v>3</v>
      </c>
      <c r="F34" s="98">
        <v>2</v>
      </c>
      <c r="G34" s="97">
        <f t="shared" si="0"/>
        <v>1</v>
      </c>
      <c r="H34" s="99">
        <v>2</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9">
        <v>2</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9">
        <v>2</v>
      </c>
      <c r="I36" s="250"/>
      <c r="J36" s="251"/>
      <c r="K36" s="1"/>
      <c r="L36" s="1"/>
      <c r="M36" s="1"/>
      <c r="N36" s="1"/>
      <c r="O36" s="10"/>
    </row>
    <row r="37" spans="1:22" ht="31.8" customHeight="1" x14ac:dyDescent="0.3">
      <c r="A37" s="1"/>
      <c r="B37" s="48" t="s">
        <v>71</v>
      </c>
      <c r="C37" s="64" t="s">
        <v>39</v>
      </c>
      <c r="D37" s="60" t="s">
        <v>116</v>
      </c>
      <c r="E37" s="120">
        <v>3</v>
      </c>
      <c r="F37" s="98">
        <v>1</v>
      </c>
      <c r="G37" s="97">
        <f t="shared" si="0"/>
        <v>2</v>
      </c>
      <c r="H37" s="99">
        <v>2</v>
      </c>
      <c r="I37" s="250"/>
      <c r="J37" s="251"/>
      <c r="K37" s="1"/>
      <c r="L37" s="1"/>
      <c r="M37" s="1"/>
      <c r="N37" s="1"/>
      <c r="O37" s="10"/>
    </row>
    <row r="38" spans="1:22" ht="31.8" customHeight="1" x14ac:dyDescent="0.3">
      <c r="A38" s="1"/>
      <c r="B38" s="48" t="s">
        <v>71</v>
      </c>
      <c r="C38" s="64" t="s">
        <v>39</v>
      </c>
      <c r="D38" s="60" t="s">
        <v>117</v>
      </c>
      <c r="E38" s="120">
        <v>3</v>
      </c>
      <c r="F38" s="98">
        <v>1</v>
      </c>
      <c r="G38" s="97">
        <f t="shared" si="0"/>
        <v>2</v>
      </c>
      <c r="H38" s="99">
        <v>2</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9">
        <v>2</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9">
        <v>2</v>
      </c>
      <c r="I40" s="250"/>
      <c r="J40" s="251"/>
      <c r="K40" s="1"/>
      <c r="L40" s="1"/>
      <c r="M40" s="1"/>
      <c r="N40" s="1"/>
      <c r="O40" s="10"/>
    </row>
    <row r="41" spans="1:22" s="96" customFormat="1" ht="31.8" customHeight="1" x14ac:dyDescent="0.3">
      <c r="A41" s="1"/>
      <c r="B41" s="48" t="s">
        <v>71</v>
      </c>
      <c r="C41" s="64" t="s">
        <v>45</v>
      </c>
      <c r="D41" s="60" t="s">
        <v>120</v>
      </c>
      <c r="E41" s="121">
        <v>3</v>
      </c>
      <c r="F41" s="100">
        <v>1</v>
      </c>
      <c r="G41" s="97">
        <f t="shared" si="0"/>
        <v>2</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9">
        <v>2</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9">
        <v>2</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99">
        <v>2</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9">
        <v>2</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9">
        <v>2</v>
      </c>
      <c r="I46" s="250"/>
      <c r="J46" s="251"/>
      <c r="K46" s="1"/>
      <c r="L46" s="1"/>
      <c r="M46" s="1"/>
      <c r="N46" s="1"/>
      <c r="O46" s="10"/>
    </row>
    <row r="47" spans="1:22" ht="31.8" customHeight="1" x14ac:dyDescent="0.3">
      <c r="A47" s="1"/>
      <c r="B47" s="48" t="s">
        <v>71</v>
      </c>
      <c r="C47" s="64" t="s">
        <v>57</v>
      </c>
      <c r="D47" s="62" t="s">
        <v>58</v>
      </c>
      <c r="E47" s="119">
        <v>2</v>
      </c>
      <c r="F47" s="100">
        <v>3</v>
      </c>
      <c r="G47" s="97">
        <f t="shared" si="0"/>
        <v>-1</v>
      </c>
      <c r="H47" s="99">
        <v>2</v>
      </c>
      <c r="I47" s="250"/>
      <c r="J47" s="251"/>
      <c r="K47" s="1"/>
      <c r="L47" s="1"/>
      <c r="M47" s="1"/>
      <c r="N47" s="1"/>
      <c r="O47" s="10"/>
    </row>
    <row r="48" spans="1:22" ht="31.8" customHeight="1" x14ac:dyDescent="0.3">
      <c r="A48" s="1"/>
      <c r="B48" s="64" t="s">
        <v>31</v>
      </c>
      <c r="C48" s="64" t="s">
        <v>70</v>
      </c>
      <c r="D48" s="55" t="s">
        <v>60</v>
      </c>
      <c r="E48" s="119">
        <v>2</v>
      </c>
      <c r="F48" s="98">
        <v>2</v>
      </c>
      <c r="G48" s="97">
        <f t="shared" si="0"/>
        <v>0</v>
      </c>
      <c r="H48" s="99">
        <v>2</v>
      </c>
      <c r="I48" s="250"/>
      <c r="J48" s="251"/>
      <c r="K48" s="1"/>
      <c r="L48" s="1"/>
      <c r="M48" s="1"/>
      <c r="N48" s="1"/>
      <c r="O48" s="10"/>
    </row>
    <row r="49" spans="1:15" ht="31.8" customHeight="1" x14ac:dyDescent="0.3">
      <c r="A49" s="1"/>
      <c r="B49" s="64" t="s">
        <v>31</v>
      </c>
      <c r="C49" s="64" t="s">
        <v>70</v>
      </c>
      <c r="D49" s="55" t="s">
        <v>62</v>
      </c>
      <c r="E49" s="119">
        <v>2</v>
      </c>
      <c r="F49" s="98">
        <v>3</v>
      </c>
      <c r="G49" s="97">
        <f t="shared" si="0"/>
        <v>-1</v>
      </c>
      <c r="H49" s="99">
        <v>2</v>
      </c>
      <c r="I49" s="250"/>
      <c r="J49" s="251"/>
      <c r="K49" s="1"/>
      <c r="L49" s="1"/>
      <c r="M49" s="1"/>
      <c r="N49" s="1"/>
      <c r="O49" s="10"/>
    </row>
    <row r="50" spans="1:15" ht="31.8" customHeight="1" x14ac:dyDescent="0.3">
      <c r="A50" s="1"/>
      <c r="B50" s="64" t="s">
        <v>31</v>
      </c>
      <c r="C50" s="64" t="s">
        <v>70</v>
      </c>
      <c r="D50" s="55" t="s">
        <v>64</v>
      </c>
      <c r="E50" s="119">
        <v>2</v>
      </c>
      <c r="F50" s="98">
        <v>3</v>
      </c>
      <c r="G50" s="97">
        <f t="shared" si="0"/>
        <v>-1</v>
      </c>
      <c r="H50" s="99">
        <v>2</v>
      </c>
      <c r="I50" s="250"/>
      <c r="J50" s="251"/>
      <c r="K50" s="1"/>
      <c r="L50" s="1"/>
      <c r="M50" s="1"/>
      <c r="N50" s="1"/>
      <c r="O50" s="10"/>
    </row>
    <row r="51" spans="1:15" ht="31.8" customHeight="1" x14ac:dyDescent="0.3">
      <c r="A51" s="1"/>
      <c r="B51" s="64" t="s">
        <v>31</v>
      </c>
      <c r="C51" s="64" t="s">
        <v>70</v>
      </c>
      <c r="D51" s="55" t="s">
        <v>66</v>
      </c>
      <c r="E51" s="119">
        <v>3</v>
      </c>
      <c r="F51" s="98">
        <v>3</v>
      </c>
      <c r="G51" s="97">
        <f t="shared" si="0"/>
        <v>0</v>
      </c>
      <c r="H51" s="99">
        <v>2</v>
      </c>
      <c r="I51" s="250"/>
      <c r="J51" s="251"/>
      <c r="K51" s="1"/>
      <c r="L51" s="1"/>
      <c r="M51" s="1"/>
      <c r="N51" s="1"/>
      <c r="O51" s="10"/>
    </row>
    <row r="52" spans="1:15" ht="31.8" customHeight="1" thickBot="1" x14ac:dyDescent="0.35">
      <c r="A52" s="1"/>
      <c r="B52" s="64" t="s">
        <v>31</v>
      </c>
      <c r="C52" s="64" t="s">
        <v>70</v>
      </c>
      <c r="D52" s="55" t="s">
        <v>68</v>
      </c>
      <c r="E52" s="122">
        <v>2</v>
      </c>
      <c r="F52" s="123">
        <v>2</v>
      </c>
      <c r="G52" s="124">
        <f t="shared" si="0"/>
        <v>0</v>
      </c>
      <c r="H52" s="125">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1.6538461538461537</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V99"/>
  <sheetViews>
    <sheetView topLeftCell="A28" zoomScale="110" zoomScaleNormal="110" workbookViewId="0">
      <selection activeCell="D62" sqref="D62"/>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194</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217</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203" t="s">
        <v>235</v>
      </c>
      <c r="D7" s="16"/>
      <c r="E7" s="39" t="s">
        <v>20</v>
      </c>
      <c r="F7" s="203" t="s">
        <v>250</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v>42144</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95" t="s">
        <v>249</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156.6" customHeight="1" thickBot="1" x14ac:dyDescent="0.35">
      <c r="A23" s="1"/>
      <c r="B23" s="252"/>
      <c r="C23" s="253"/>
      <c r="D23" s="253"/>
      <c r="E23" s="254"/>
      <c r="F23" s="296" t="s">
        <v>248</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1</v>
      </c>
      <c r="G27" s="97">
        <f>($E27-$F27)</f>
        <v>2</v>
      </c>
      <c r="H27" s="99">
        <v>2</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9">
        <v>2</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9">
        <v>2</v>
      </c>
      <c r="I29" s="250"/>
      <c r="J29" s="251"/>
      <c r="K29" s="1"/>
      <c r="L29" s="1"/>
      <c r="M29" s="1"/>
      <c r="N29" s="1"/>
      <c r="O29" s="10"/>
    </row>
    <row r="30" spans="1:15" ht="31.8" customHeight="1" x14ac:dyDescent="0.3">
      <c r="A30" s="1"/>
      <c r="B30" s="48" t="s">
        <v>71</v>
      </c>
      <c r="C30" s="64" t="s">
        <v>32</v>
      </c>
      <c r="D30" s="60" t="s">
        <v>109</v>
      </c>
      <c r="E30" s="119">
        <v>3</v>
      </c>
      <c r="F30" s="98">
        <v>1</v>
      </c>
      <c r="G30" s="97">
        <f t="shared" si="0"/>
        <v>2</v>
      </c>
      <c r="H30" s="99">
        <v>2</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9">
        <v>2</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9">
        <v>2</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9">
        <v>2</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9">
        <v>2</v>
      </c>
      <c r="I34" s="250"/>
      <c r="J34" s="251"/>
      <c r="K34" s="1"/>
      <c r="L34" s="1"/>
      <c r="M34" s="1"/>
      <c r="N34" s="1"/>
      <c r="O34" s="10"/>
    </row>
    <row r="35" spans="1:22" ht="31.8" customHeight="1" x14ac:dyDescent="0.3">
      <c r="A35" s="1"/>
      <c r="B35" s="48" t="s">
        <v>71</v>
      </c>
      <c r="C35" s="64" t="s">
        <v>38</v>
      </c>
      <c r="D35" s="60" t="s">
        <v>114</v>
      </c>
      <c r="E35" s="119">
        <v>3</v>
      </c>
      <c r="F35" s="98">
        <v>4</v>
      </c>
      <c r="G35" s="97">
        <f t="shared" si="0"/>
        <v>-1</v>
      </c>
      <c r="H35" s="99">
        <v>2</v>
      </c>
      <c r="I35" s="250"/>
      <c r="J35" s="251"/>
      <c r="K35" s="1"/>
      <c r="L35" s="1"/>
      <c r="M35" s="1"/>
      <c r="N35" s="1"/>
      <c r="O35" s="10"/>
    </row>
    <row r="36" spans="1:22" ht="31.8" customHeight="1" x14ac:dyDescent="0.3">
      <c r="A36" s="1"/>
      <c r="B36" s="48" t="s">
        <v>71</v>
      </c>
      <c r="C36" s="64" t="s">
        <v>38</v>
      </c>
      <c r="D36" s="60" t="s">
        <v>115</v>
      </c>
      <c r="E36" s="119">
        <v>3</v>
      </c>
      <c r="F36" s="98">
        <v>3</v>
      </c>
      <c r="G36" s="97">
        <f t="shared" si="0"/>
        <v>0</v>
      </c>
      <c r="H36" s="99">
        <v>2</v>
      </c>
      <c r="I36" s="250"/>
      <c r="J36" s="251"/>
      <c r="K36" s="1"/>
      <c r="L36" s="1"/>
      <c r="M36" s="1"/>
      <c r="N36" s="1"/>
      <c r="O36" s="10"/>
    </row>
    <row r="37" spans="1:22" ht="31.8" customHeight="1" x14ac:dyDescent="0.3">
      <c r="A37" s="1"/>
      <c r="B37" s="48" t="s">
        <v>71</v>
      </c>
      <c r="C37" s="64" t="s">
        <v>39</v>
      </c>
      <c r="D37" s="60" t="s">
        <v>116</v>
      </c>
      <c r="E37" s="120">
        <v>3</v>
      </c>
      <c r="F37" s="98">
        <v>4</v>
      </c>
      <c r="G37" s="97">
        <f t="shared" si="0"/>
        <v>-1</v>
      </c>
      <c r="H37" s="99">
        <v>2</v>
      </c>
      <c r="I37" s="250"/>
      <c r="J37" s="251"/>
      <c r="K37" s="1"/>
      <c r="L37" s="1"/>
      <c r="M37" s="1"/>
      <c r="N37" s="1"/>
      <c r="O37" s="10"/>
    </row>
    <row r="38" spans="1:22" ht="31.8" customHeight="1" x14ac:dyDescent="0.3">
      <c r="A38" s="1"/>
      <c r="B38" s="48" t="s">
        <v>71</v>
      </c>
      <c r="C38" s="64" t="s">
        <v>39</v>
      </c>
      <c r="D38" s="60" t="s">
        <v>117</v>
      </c>
      <c r="E38" s="120">
        <v>3</v>
      </c>
      <c r="F38" s="98">
        <v>3</v>
      </c>
      <c r="G38" s="97">
        <f t="shared" si="0"/>
        <v>0</v>
      </c>
      <c r="H38" s="99">
        <v>2</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9">
        <v>2</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9">
        <v>2</v>
      </c>
      <c r="I40" s="250"/>
      <c r="J40" s="251"/>
      <c r="K40" s="1"/>
      <c r="L40" s="1"/>
      <c r="M40" s="1"/>
      <c r="N40" s="1"/>
      <c r="O40" s="10"/>
    </row>
    <row r="41" spans="1:22" s="96" customFormat="1" ht="31.8" customHeight="1" x14ac:dyDescent="0.3">
      <c r="A41" s="1"/>
      <c r="B41" s="48" t="s">
        <v>71</v>
      </c>
      <c r="C41" s="64" t="s">
        <v>45</v>
      </c>
      <c r="D41" s="60" t="s">
        <v>120</v>
      </c>
      <c r="E41" s="121">
        <v>3</v>
      </c>
      <c r="F41" s="100">
        <v>2</v>
      </c>
      <c r="G41" s="97">
        <f t="shared" si="0"/>
        <v>1</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9">
        <v>2</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9">
        <v>2</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99">
        <v>2</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9">
        <v>2</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9">
        <v>2</v>
      </c>
      <c r="I46" s="250"/>
      <c r="J46" s="251"/>
      <c r="K46" s="1"/>
      <c r="L46" s="1"/>
      <c r="M46" s="1"/>
      <c r="N46" s="1"/>
      <c r="O46" s="10"/>
    </row>
    <row r="47" spans="1:22" ht="31.8" customHeight="1" x14ac:dyDescent="0.3">
      <c r="A47" s="1"/>
      <c r="B47" s="48" t="s">
        <v>71</v>
      </c>
      <c r="C47" s="64" t="s">
        <v>57</v>
      </c>
      <c r="D47" s="62" t="s">
        <v>58</v>
      </c>
      <c r="E47" s="119">
        <v>2</v>
      </c>
      <c r="F47" s="100">
        <v>1</v>
      </c>
      <c r="G47" s="97">
        <f t="shared" si="0"/>
        <v>1</v>
      </c>
      <c r="H47" s="99">
        <v>2</v>
      </c>
      <c r="I47" s="250"/>
      <c r="J47" s="251"/>
      <c r="K47" s="1"/>
      <c r="L47" s="1"/>
      <c r="M47" s="1"/>
      <c r="N47" s="1"/>
      <c r="O47" s="10"/>
    </row>
    <row r="48" spans="1:22" ht="31.8" customHeight="1" x14ac:dyDescent="0.3">
      <c r="A48" s="1"/>
      <c r="B48" s="64" t="s">
        <v>31</v>
      </c>
      <c r="C48" s="64" t="s">
        <v>70</v>
      </c>
      <c r="D48" s="55" t="s">
        <v>60</v>
      </c>
      <c r="E48" s="119">
        <v>2</v>
      </c>
      <c r="F48" s="98">
        <v>1</v>
      </c>
      <c r="G48" s="97">
        <f t="shared" si="0"/>
        <v>1</v>
      </c>
      <c r="H48" s="99">
        <v>2</v>
      </c>
      <c r="I48" s="250"/>
      <c r="J48" s="251"/>
      <c r="K48" s="1"/>
      <c r="L48" s="1"/>
      <c r="M48" s="1"/>
      <c r="N48" s="1"/>
      <c r="O48" s="10"/>
    </row>
    <row r="49" spans="1:15" ht="31.8" customHeight="1" x14ac:dyDescent="0.3">
      <c r="A49" s="1"/>
      <c r="B49" s="64" t="s">
        <v>31</v>
      </c>
      <c r="C49" s="64" t="s">
        <v>70</v>
      </c>
      <c r="D49" s="55" t="s">
        <v>62</v>
      </c>
      <c r="E49" s="119">
        <v>2</v>
      </c>
      <c r="F49" s="98">
        <v>2</v>
      </c>
      <c r="G49" s="97">
        <f t="shared" si="0"/>
        <v>0</v>
      </c>
      <c r="H49" s="99">
        <v>2</v>
      </c>
      <c r="I49" s="250"/>
      <c r="J49" s="251"/>
      <c r="K49" s="1"/>
      <c r="L49" s="1"/>
      <c r="M49" s="1"/>
      <c r="N49" s="1"/>
      <c r="O49" s="10"/>
    </row>
    <row r="50" spans="1:15" ht="31.8" customHeight="1" x14ac:dyDescent="0.3">
      <c r="A50" s="1"/>
      <c r="B50" s="64" t="s">
        <v>31</v>
      </c>
      <c r="C50" s="64" t="s">
        <v>70</v>
      </c>
      <c r="D50" s="55" t="s">
        <v>64</v>
      </c>
      <c r="E50" s="119">
        <v>2</v>
      </c>
      <c r="F50" s="98">
        <v>2</v>
      </c>
      <c r="G50" s="97">
        <f t="shared" si="0"/>
        <v>0</v>
      </c>
      <c r="H50" s="99">
        <v>2</v>
      </c>
      <c r="I50" s="250"/>
      <c r="J50" s="251"/>
      <c r="K50" s="1"/>
      <c r="L50" s="1"/>
      <c r="M50" s="1"/>
      <c r="N50" s="1"/>
      <c r="O50" s="10"/>
    </row>
    <row r="51" spans="1:15" ht="31.8" customHeight="1" x14ac:dyDescent="0.3">
      <c r="A51" s="1"/>
      <c r="B51" s="64" t="s">
        <v>31</v>
      </c>
      <c r="C51" s="64" t="s">
        <v>70</v>
      </c>
      <c r="D51" s="55" t="s">
        <v>66</v>
      </c>
      <c r="E51" s="119">
        <v>3</v>
      </c>
      <c r="F51" s="98">
        <v>3</v>
      </c>
      <c r="G51" s="97">
        <f t="shared" si="0"/>
        <v>0</v>
      </c>
      <c r="H51" s="99">
        <v>2</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5">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1.5769230769230769</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V99"/>
  <sheetViews>
    <sheetView topLeftCell="A13" zoomScale="110" zoomScaleNormal="110" workbookViewId="0">
      <selection activeCell="B23" sqref="B23:E23"/>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193</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216</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235</v>
      </c>
      <c r="D7" s="16"/>
      <c r="E7" s="39" t="s">
        <v>20</v>
      </c>
      <c r="F7" s="168" t="s">
        <v>280</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1</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44"/>
      <c r="C23" s="245"/>
      <c r="D23" s="245"/>
      <c r="E23" s="246"/>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3</v>
      </c>
      <c r="F27" s="98">
        <v>4</v>
      </c>
      <c r="G27" s="97">
        <f>($E27-$F27)</f>
        <v>-1</v>
      </c>
      <c r="H27" s="98">
        <v>4</v>
      </c>
      <c r="I27" s="262"/>
      <c r="J27" s="263"/>
      <c r="K27" s="1"/>
      <c r="L27" s="1"/>
      <c r="M27" s="1"/>
      <c r="N27" s="1"/>
      <c r="O27" s="10"/>
    </row>
    <row r="28" spans="1:15" ht="31.8" customHeight="1" x14ac:dyDescent="0.3">
      <c r="A28" s="1"/>
      <c r="B28" s="48" t="s">
        <v>71</v>
      </c>
      <c r="C28" s="64" t="s">
        <v>32</v>
      </c>
      <c r="D28" s="60" t="s">
        <v>107</v>
      </c>
      <c r="E28" s="119">
        <v>2</v>
      </c>
      <c r="F28" s="98">
        <v>2</v>
      </c>
      <c r="G28" s="97">
        <f t="shared" ref="G28:G52" si="0">($E28-$F28)</f>
        <v>0</v>
      </c>
      <c r="H28" s="98">
        <v>2</v>
      </c>
      <c r="I28" s="250"/>
      <c r="J28" s="251"/>
      <c r="K28" s="1"/>
      <c r="L28" s="1"/>
      <c r="M28" s="1"/>
      <c r="N28" s="1"/>
      <c r="O28" s="10"/>
    </row>
    <row r="29" spans="1:15" ht="31.8" customHeight="1" x14ac:dyDescent="0.3">
      <c r="A29" s="1"/>
      <c r="B29" s="48" t="s">
        <v>71</v>
      </c>
      <c r="C29" s="64" t="s">
        <v>32</v>
      </c>
      <c r="D29" s="60" t="s">
        <v>108</v>
      </c>
      <c r="E29" s="119">
        <v>3</v>
      </c>
      <c r="F29" s="98">
        <v>2</v>
      </c>
      <c r="G29" s="97">
        <f t="shared" si="0"/>
        <v>1</v>
      </c>
      <c r="H29" s="98">
        <v>2</v>
      </c>
      <c r="I29" s="250"/>
      <c r="J29" s="251"/>
      <c r="K29" s="1"/>
      <c r="L29" s="1"/>
      <c r="M29" s="1"/>
      <c r="N29" s="1"/>
      <c r="O29" s="10"/>
    </row>
    <row r="30" spans="1:15" ht="31.8" customHeight="1" x14ac:dyDescent="0.3">
      <c r="A30" s="1"/>
      <c r="B30" s="48" t="s">
        <v>71</v>
      </c>
      <c r="C30" s="64" t="s">
        <v>32</v>
      </c>
      <c r="D30" s="60" t="s">
        <v>109</v>
      </c>
      <c r="E30" s="119">
        <v>3</v>
      </c>
      <c r="F30" s="98">
        <v>3</v>
      </c>
      <c r="G30" s="97">
        <f t="shared" si="0"/>
        <v>0</v>
      </c>
      <c r="H30" s="98">
        <v>3</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8">
        <v>1</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8">
        <v>1</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8">
        <v>1</v>
      </c>
      <c r="I34" s="250"/>
      <c r="J34" s="251"/>
      <c r="K34" s="1"/>
      <c r="L34" s="1"/>
      <c r="M34" s="1"/>
      <c r="N34" s="1"/>
      <c r="O34" s="10"/>
    </row>
    <row r="35" spans="1:22" ht="31.8" customHeight="1" x14ac:dyDescent="0.3">
      <c r="A35" s="1"/>
      <c r="B35" s="48" t="s">
        <v>71</v>
      </c>
      <c r="C35" s="64" t="s">
        <v>38</v>
      </c>
      <c r="D35" s="60" t="s">
        <v>114</v>
      </c>
      <c r="E35" s="119">
        <v>3</v>
      </c>
      <c r="F35" s="98">
        <v>1</v>
      </c>
      <c r="G35" s="97">
        <f t="shared" si="0"/>
        <v>2</v>
      </c>
      <c r="H35" s="98">
        <v>1</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8">
        <v>1</v>
      </c>
      <c r="I36" s="250"/>
      <c r="J36" s="251"/>
      <c r="K36" s="1"/>
      <c r="L36" s="1"/>
      <c r="M36" s="1"/>
      <c r="N36" s="1"/>
      <c r="O36" s="10"/>
    </row>
    <row r="37" spans="1:22" ht="31.8" customHeight="1" x14ac:dyDescent="0.3">
      <c r="A37" s="1"/>
      <c r="B37" s="48" t="s">
        <v>71</v>
      </c>
      <c r="C37" s="64" t="s">
        <v>39</v>
      </c>
      <c r="D37" s="60" t="s">
        <v>116</v>
      </c>
      <c r="E37" s="120">
        <v>3</v>
      </c>
      <c r="F37" s="98">
        <v>1</v>
      </c>
      <c r="G37" s="97">
        <f t="shared" si="0"/>
        <v>2</v>
      </c>
      <c r="H37" s="98">
        <v>1</v>
      </c>
      <c r="I37" s="250"/>
      <c r="J37" s="251"/>
      <c r="K37" s="1"/>
      <c r="L37" s="1"/>
      <c r="M37" s="1"/>
      <c r="N37" s="1"/>
      <c r="O37" s="10"/>
    </row>
    <row r="38" spans="1:22" ht="31.8" customHeight="1" x14ac:dyDescent="0.3">
      <c r="A38" s="1"/>
      <c r="B38" s="48" t="s">
        <v>71</v>
      </c>
      <c r="C38" s="64" t="s">
        <v>39</v>
      </c>
      <c r="D38" s="60" t="s">
        <v>117</v>
      </c>
      <c r="E38" s="120">
        <v>3</v>
      </c>
      <c r="F38" s="98">
        <v>1</v>
      </c>
      <c r="G38" s="97">
        <f t="shared" si="0"/>
        <v>2</v>
      </c>
      <c r="H38" s="98">
        <v>1</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8">
        <v>1</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8">
        <v>1</v>
      </c>
      <c r="I40" s="250"/>
      <c r="J40" s="251"/>
      <c r="K40" s="1"/>
      <c r="L40" s="1"/>
      <c r="M40" s="1"/>
      <c r="N40" s="1"/>
      <c r="O40" s="10"/>
    </row>
    <row r="41" spans="1:22" s="96" customFormat="1" ht="31.8" customHeight="1" x14ac:dyDescent="0.3">
      <c r="A41" s="1"/>
      <c r="B41" s="48" t="s">
        <v>71</v>
      </c>
      <c r="C41" s="64" t="s">
        <v>45</v>
      </c>
      <c r="D41" s="60" t="s">
        <v>120</v>
      </c>
      <c r="E41" s="121">
        <v>3</v>
      </c>
      <c r="F41" s="100">
        <v>1</v>
      </c>
      <c r="G41" s="97">
        <f t="shared" si="0"/>
        <v>2</v>
      </c>
      <c r="H41" s="100">
        <v>1</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8">
        <v>1</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8">
        <v>1</v>
      </c>
      <c r="I43" s="250"/>
      <c r="J43" s="251"/>
      <c r="K43" s="1"/>
      <c r="L43" s="1"/>
      <c r="M43" s="1"/>
      <c r="N43" s="1"/>
      <c r="O43" s="10"/>
    </row>
    <row r="44" spans="1:22" ht="31.8" customHeight="1" x14ac:dyDescent="0.3">
      <c r="A44" s="1"/>
      <c r="B44" s="48" t="s">
        <v>71</v>
      </c>
      <c r="C44" s="64" t="s">
        <v>50</v>
      </c>
      <c r="D44" s="60" t="s">
        <v>51</v>
      </c>
      <c r="E44" s="119">
        <v>2</v>
      </c>
      <c r="F44" s="100">
        <v>1</v>
      </c>
      <c r="G44" s="97">
        <f t="shared" si="0"/>
        <v>1</v>
      </c>
      <c r="H44" s="100">
        <v>1</v>
      </c>
      <c r="I44" s="250"/>
      <c r="J44" s="251"/>
      <c r="K44" s="1"/>
      <c r="L44" s="1"/>
      <c r="M44" s="1"/>
      <c r="N44" s="1"/>
      <c r="O44" s="10"/>
    </row>
    <row r="45" spans="1:22" ht="31.8" customHeight="1" x14ac:dyDescent="0.3">
      <c r="A45" s="1"/>
      <c r="B45" s="48" t="s">
        <v>71</v>
      </c>
      <c r="C45" s="64" t="s">
        <v>50</v>
      </c>
      <c r="D45" s="60" t="s">
        <v>53</v>
      </c>
      <c r="E45" s="119">
        <v>2</v>
      </c>
      <c r="F45" s="98">
        <v>1</v>
      </c>
      <c r="G45" s="97">
        <f t="shared" si="0"/>
        <v>1</v>
      </c>
      <c r="H45" s="98">
        <v>1</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8">
        <v>1</v>
      </c>
      <c r="I46" s="250"/>
      <c r="J46" s="251"/>
      <c r="K46" s="1"/>
      <c r="L46" s="1"/>
      <c r="M46" s="1"/>
      <c r="N46" s="1"/>
      <c r="O46" s="10"/>
    </row>
    <row r="47" spans="1:22" ht="31.8" customHeight="1" x14ac:dyDescent="0.3">
      <c r="A47" s="1"/>
      <c r="B47" s="48" t="s">
        <v>71</v>
      </c>
      <c r="C47" s="64" t="s">
        <v>57</v>
      </c>
      <c r="D47" s="62" t="s">
        <v>58</v>
      </c>
      <c r="E47" s="119">
        <v>2</v>
      </c>
      <c r="F47" s="100">
        <v>2</v>
      </c>
      <c r="G47" s="97">
        <f t="shared" si="0"/>
        <v>0</v>
      </c>
      <c r="H47" s="100">
        <v>2</v>
      </c>
      <c r="I47" s="250"/>
      <c r="J47" s="251"/>
      <c r="K47" s="1"/>
      <c r="L47" s="1"/>
      <c r="M47" s="1"/>
      <c r="N47" s="1"/>
      <c r="O47" s="10"/>
    </row>
    <row r="48" spans="1:22" ht="31.8" customHeight="1" x14ac:dyDescent="0.3">
      <c r="A48" s="1"/>
      <c r="B48" s="64" t="s">
        <v>31</v>
      </c>
      <c r="C48" s="64" t="s">
        <v>70</v>
      </c>
      <c r="D48" s="55" t="s">
        <v>60</v>
      </c>
      <c r="E48" s="119">
        <v>2</v>
      </c>
      <c r="F48" s="98">
        <v>2</v>
      </c>
      <c r="G48" s="97">
        <f t="shared" si="0"/>
        <v>0</v>
      </c>
      <c r="H48" s="98">
        <v>2</v>
      </c>
      <c r="I48" s="250"/>
      <c r="J48" s="251"/>
      <c r="K48" s="1"/>
      <c r="L48" s="1"/>
      <c r="M48" s="1"/>
      <c r="N48" s="1"/>
      <c r="O48" s="10"/>
    </row>
    <row r="49" spans="1:15" ht="31.8" customHeight="1" x14ac:dyDescent="0.3">
      <c r="A49" s="1"/>
      <c r="B49" s="64" t="s">
        <v>31</v>
      </c>
      <c r="C49" s="64" t="s">
        <v>70</v>
      </c>
      <c r="D49" s="55" t="s">
        <v>62</v>
      </c>
      <c r="E49" s="119">
        <v>2</v>
      </c>
      <c r="F49" s="98">
        <v>2</v>
      </c>
      <c r="G49" s="97">
        <f t="shared" si="0"/>
        <v>0</v>
      </c>
      <c r="H49" s="98">
        <v>2</v>
      </c>
      <c r="I49" s="250"/>
      <c r="J49" s="251"/>
      <c r="K49" s="1"/>
      <c r="L49" s="1"/>
      <c r="M49" s="1"/>
      <c r="N49" s="1"/>
      <c r="O49" s="10"/>
    </row>
    <row r="50" spans="1:15" ht="31.8" customHeight="1" x14ac:dyDescent="0.3">
      <c r="A50" s="1"/>
      <c r="B50" s="64" t="s">
        <v>31</v>
      </c>
      <c r="C50" s="64" t="s">
        <v>70</v>
      </c>
      <c r="D50" s="55" t="s">
        <v>64</v>
      </c>
      <c r="E50" s="119">
        <v>2</v>
      </c>
      <c r="F50" s="98">
        <v>2</v>
      </c>
      <c r="G50" s="97">
        <f t="shared" si="0"/>
        <v>0</v>
      </c>
      <c r="H50" s="98">
        <v>2</v>
      </c>
      <c r="I50" s="250"/>
      <c r="J50" s="251"/>
      <c r="K50" s="1"/>
      <c r="L50" s="1"/>
      <c r="M50" s="1"/>
      <c r="N50" s="1"/>
      <c r="O50" s="10"/>
    </row>
    <row r="51" spans="1:15" ht="31.8" customHeight="1" x14ac:dyDescent="0.3">
      <c r="A51" s="1"/>
      <c r="B51" s="64" t="s">
        <v>31</v>
      </c>
      <c r="C51" s="64" t="s">
        <v>70</v>
      </c>
      <c r="D51" s="55" t="s">
        <v>66</v>
      </c>
      <c r="E51" s="119">
        <v>3</v>
      </c>
      <c r="F51" s="98">
        <v>2</v>
      </c>
      <c r="G51" s="97">
        <f t="shared" si="0"/>
        <v>1</v>
      </c>
      <c r="H51" s="98">
        <v>2</v>
      </c>
      <c r="I51" s="250"/>
      <c r="J51" s="251"/>
      <c r="K51" s="1"/>
      <c r="L51" s="1"/>
      <c r="M51" s="1"/>
      <c r="N51" s="1"/>
      <c r="O51" s="10"/>
    </row>
    <row r="52" spans="1:15" ht="31.8" customHeight="1" thickBot="1" x14ac:dyDescent="0.35">
      <c r="A52" s="1"/>
      <c r="B52" s="64" t="s">
        <v>31</v>
      </c>
      <c r="C52" s="64" t="s">
        <v>70</v>
      </c>
      <c r="D52" s="55" t="s">
        <v>68</v>
      </c>
      <c r="E52" s="122">
        <v>2</v>
      </c>
      <c r="F52" s="123">
        <v>2</v>
      </c>
      <c r="G52" s="124">
        <f t="shared" si="0"/>
        <v>0</v>
      </c>
      <c r="H52" s="123">
        <v>2</v>
      </c>
      <c r="I52" s="268"/>
      <c r="J52" s="269"/>
      <c r="K52" s="1"/>
      <c r="L52" s="1"/>
      <c r="M52" s="1"/>
      <c r="N52" s="1"/>
      <c r="O52" s="10"/>
    </row>
    <row r="53" spans="1:15" ht="31.8" customHeight="1" thickBot="1" x14ac:dyDescent="0.35">
      <c r="A53" s="1"/>
      <c r="B53" s="264" t="s">
        <v>177</v>
      </c>
      <c r="C53" s="265"/>
      <c r="D53" s="265"/>
      <c r="E53" s="130">
        <f>AVERAGE(E27:E52)</f>
        <v>2.6153846153846154</v>
      </c>
      <c r="F53" s="131">
        <f>AVERAGE(F27:F52)</f>
        <v>1.5</v>
      </c>
      <c r="G53" s="132"/>
      <c r="H53" s="130">
        <f>AVERAGE(H27:H52)</f>
        <v>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V99"/>
  <sheetViews>
    <sheetView zoomScale="110" zoomScaleNormal="110" workbookViewId="0">
      <selection activeCell="I38" sqref="I38:J38"/>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192</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215</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270</v>
      </c>
      <c r="D7" s="16"/>
      <c r="E7" s="39" t="s">
        <v>20</v>
      </c>
      <c r="F7" s="168" t="s">
        <v>268</v>
      </c>
      <c r="G7" s="16"/>
      <c r="H7" s="39" t="s">
        <v>130</v>
      </c>
      <c r="I7" s="168">
        <v>1</v>
      </c>
      <c r="J7" s="16"/>
      <c r="K7" s="16"/>
      <c r="L7" s="16"/>
      <c r="M7" s="16"/>
      <c r="N7" s="16"/>
      <c r="O7" s="16"/>
    </row>
    <row r="8" spans="1:15" x14ac:dyDescent="0.3">
      <c r="A8" s="16"/>
      <c r="B8" s="16"/>
      <c r="C8" s="16"/>
      <c r="D8" s="16"/>
      <c r="E8" s="16" t="s">
        <v>269</v>
      </c>
      <c r="F8" s="16"/>
      <c r="G8" s="16"/>
      <c r="H8" s="16"/>
      <c r="I8" s="16"/>
      <c r="J8" s="16"/>
      <c r="K8" s="16"/>
      <c r="L8" s="16"/>
      <c r="M8" s="16"/>
      <c r="N8" s="16"/>
      <c r="O8" s="16"/>
    </row>
    <row r="9" spans="1:15" x14ac:dyDescent="0.3">
      <c r="A9" s="16"/>
      <c r="B9" s="39" t="s">
        <v>9</v>
      </c>
      <c r="C9" s="168" t="s">
        <v>3</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4" t="s">
        <v>267</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t="s">
        <v>266</v>
      </c>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47" t="s">
        <v>266</v>
      </c>
      <c r="C23" s="248"/>
      <c r="D23" s="248"/>
      <c r="E23" s="249"/>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3</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30</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1</v>
      </c>
      <c r="G27" s="97">
        <f>($E27-$F27)</f>
        <v>3</v>
      </c>
      <c r="H27" s="98">
        <v>1</v>
      </c>
      <c r="I27" s="262"/>
      <c r="J27" s="263"/>
      <c r="K27" s="1"/>
      <c r="L27" s="1"/>
      <c r="M27" s="1"/>
      <c r="N27" s="1"/>
      <c r="O27" s="10"/>
    </row>
    <row r="28" spans="1:15" ht="31.8" customHeight="1" x14ac:dyDescent="0.3">
      <c r="A28" s="1"/>
      <c r="B28" s="48" t="s">
        <v>71</v>
      </c>
      <c r="C28" s="64" t="s">
        <v>32</v>
      </c>
      <c r="D28" s="60" t="s">
        <v>107</v>
      </c>
      <c r="E28" s="119">
        <v>4</v>
      </c>
      <c r="F28" s="98">
        <v>1</v>
      </c>
      <c r="G28" s="97">
        <f t="shared" ref="G28:G52" si="0">($E28-$F28)</f>
        <v>3</v>
      </c>
      <c r="H28" s="98">
        <v>1</v>
      </c>
      <c r="I28" s="250"/>
      <c r="J28" s="251"/>
      <c r="K28" s="1"/>
      <c r="L28" s="1"/>
      <c r="M28" s="1"/>
      <c r="N28" s="1"/>
      <c r="O28" s="10"/>
    </row>
    <row r="29" spans="1:15" ht="31.8" customHeight="1" x14ac:dyDescent="0.3">
      <c r="A29" s="1"/>
      <c r="B29" s="48" t="s">
        <v>71</v>
      </c>
      <c r="C29" s="64" t="s">
        <v>32</v>
      </c>
      <c r="D29" s="60" t="s">
        <v>108</v>
      </c>
      <c r="E29" s="119">
        <v>4</v>
      </c>
      <c r="F29" s="98">
        <v>1</v>
      </c>
      <c r="G29" s="97">
        <f t="shared" si="0"/>
        <v>3</v>
      </c>
      <c r="H29" s="98">
        <v>1</v>
      </c>
      <c r="I29" s="250"/>
      <c r="J29" s="251"/>
      <c r="K29" s="1"/>
      <c r="L29" s="1"/>
      <c r="M29" s="1"/>
      <c r="N29" s="1"/>
      <c r="O29" s="10"/>
    </row>
    <row r="30" spans="1:15" ht="31.8" customHeight="1" x14ac:dyDescent="0.3">
      <c r="A30" s="1"/>
      <c r="B30" s="48" t="s">
        <v>71</v>
      </c>
      <c r="C30" s="64" t="s">
        <v>32</v>
      </c>
      <c r="D30" s="60" t="s">
        <v>109</v>
      </c>
      <c r="E30" s="119">
        <v>5</v>
      </c>
      <c r="F30" s="98">
        <v>1</v>
      </c>
      <c r="G30" s="97">
        <f t="shared" si="0"/>
        <v>4</v>
      </c>
      <c r="H30" s="98">
        <v>1</v>
      </c>
      <c r="I30" s="250"/>
      <c r="J30" s="251"/>
      <c r="K30" s="1"/>
      <c r="L30" s="1"/>
      <c r="M30" s="1"/>
      <c r="N30" s="1"/>
      <c r="O30" s="10"/>
    </row>
    <row r="31" spans="1:15" ht="31.8" customHeight="1" x14ac:dyDescent="0.3">
      <c r="A31" s="1"/>
      <c r="B31" s="48" t="s">
        <v>71</v>
      </c>
      <c r="C31" s="64" t="s">
        <v>33</v>
      </c>
      <c r="D31" s="60" t="s">
        <v>110</v>
      </c>
      <c r="E31" s="119">
        <v>4</v>
      </c>
      <c r="F31" s="98">
        <v>1</v>
      </c>
      <c r="G31" s="97">
        <f t="shared" si="0"/>
        <v>3</v>
      </c>
      <c r="H31" s="98">
        <v>1</v>
      </c>
      <c r="I31" s="250"/>
      <c r="J31" s="251"/>
      <c r="K31" s="1"/>
      <c r="L31" s="1"/>
      <c r="M31" s="1"/>
      <c r="N31" s="1"/>
      <c r="O31" s="10"/>
    </row>
    <row r="32" spans="1:15" ht="31.8" customHeight="1" x14ac:dyDescent="0.3">
      <c r="A32" s="1"/>
      <c r="B32" s="48" t="s">
        <v>71</v>
      </c>
      <c r="C32" s="64" t="s">
        <v>33</v>
      </c>
      <c r="D32" s="60" t="s">
        <v>111</v>
      </c>
      <c r="E32" s="119">
        <v>4</v>
      </c>
      <c r="F32" s="98">
        <v>1</v>
      </c>
      <c r="G32" s="97">
        <f t="shared" si="0"/>
        <v>3</v>
      </c>
      <c r="H32" s="98">
        <v>1</v>
      </c>
      <c r="I32" s="250"/>
      <c r="J32" s="251"/>
      <c r="K32" s="1"/>
      <c r="L32" s="1"/>
      <c r="M32" s="1"/>
      <c r="N32" s="1"/>
      <c r="O32" s="10"/>
    </row>
    <row r="33" spans="1:22" ht="31.8" customHeight="1" x14ac:dyDescent="0.3">
      <c r="A33" s="1"/>
      <c r="B33" s="48" t="s">
        <v>71</v>
      </c>
      <c r="C33" s="64" t="s">
        <v>33</v>
      </c>
      <c r="D33" s="60" t="s">
        <v>112</v>
      </c>
      <c r="E33" s="119">
        <v>4</v>
      </c>
      <c r="F33" s="98">
        <v>1</v>
      </c>
      <c r="G33" s="97">
        <f t="shared" si="0"/>
        <v>3</v>
      </c>
      <c r="H33" s="98">
        <v>1</v>
      </c>
      <c r="I33" s="250"/>
      <c r="J33" s="251"/>
      <c r="K33" s="1"/>
      <c r="L33" s="1"/>
      <c r="M33" s="1"/>
      <c r="N33" s="1"/>
      <c r="O33" s="10"/>
    </row>
    <row r="34" spans="1:22" ht="31.8" customHeight="1" x14ac:dyDescent="0.3">
      <c r="A34" s="1"/>
      <c r="B34" s="48" t="s">
        <v>71</v>
      </c>
      <c r="C34" s="64" t="s">
        <v>33</v>
      </c>
      <c r="D34" s="60" t="s">
        <v>113</v>
      </c>
      <c r="E34" s="119">
        <v>5</v>
      </c>
      <c r="F34" s="98">
        <v>3</v>
      </c>
      <c r="G34" s="97">
        <f t="shared" si="0"/>
        <v>2</v>
      </c>
      <c r="H34" s="98">
        <v>3</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8">
        <v>1</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8">
        <v>1</v>
      </c>
      <c r="I36" s="250"/>
      <c r="J36" s="251"/>
      <c r="K36" s="1"/>
      <c r="L36" s="1"/>
      <c r="M36" s="1"/>
      <c r="N36" s="1"/>
      <c r="O36" s="10"/>
    </row>
    <row r="37" spans="1:22" ht="31.8" customHeight="1" x14ac:dyDescent="0.3">
      <c r="A37" s="1"/>
      <c r="B37" s="48" t="s">
        <v>71</v>
      </c>
      <c r="C37" s="64" t="s">
        <v>39</v>
      </c>
      <c r="D37" s="60" t="s">
        <v>116</v>
      </c>
      <c r="E37" s="120">
        <v>4</v>
      </c>
      <c r="F37" s="98">
        <v>5</v>
      </c>
      <c r="G37" s="97">
        <f t="shared" si="0"/>
        <v>-1</v>
      </c>
      <c r="H37" s="98">
        <v>5</v>
      </c>
      <c r="I37" s="250"/>
      <c r="J37" s="251"/>
      <c r="K37" s="1"/>
      <c r="L37" s="1"/>
      <c r="M37" s="1"/>
      <c r="N37" s="1"/>
      <c r="O37" s="10"/>
    </row>
    <row r="38" spans="1:22" ht="31.8" customHeight="1" x14ac:dyDescent="0.3">
      <c r="A38" s="1"/>
      <c r="B38" s="48" t="s">
        <v>71</v>
      </c>
      <c r="C38" s="64" t="s">
        <v>39</v>
      </c>
      <c r="D38" s="60" t="s">
        <v>117</v>
      </c>
      <c r="E38" s="120">
        <v>4</v>
      </c>
      <c r="F38" s="98">
        <v>5</v>
      </c>
      <c r="G38" s="97">
        <f t="shared" si="0"/>
        <v>-1</v>
      </c>
      <c r="H38" s="98">
        <v>5</v>
      </c>
      <c r="I38" s="250"/>
      <c r="J38" s="251"/>
      <c r="K38" s="1"/>
      <c r="L38" s="1"/>
      <c r="M38" s="1"/>
      <c r="N38" s="1"/>
      <c r="O38" s="10"/>
    </row>
    <row r="39" spans="1:22" ht="31.8" customHeight="1" x14ac:dyDescent="0.3">
      <c r="A39" s="1"/>
      <c r="B39" s="48" t="s">
        <v>71</v>
      </c>
      <c r="C39" s="64" t="s">
        <v>42</v>
      </c>
      <c r="D39" s="60" t="s">
        <v>118</v>
      </c>
      <c r="E39" s="119">
        <v>4</v>
      </c>
      <c r="F39" s="98">
        <v>1</v>
      </c>
      <c r="G39" s="97">
        <f t="shared" si="0"/>
        <v>3</v>
      </c>
      <c r="H39" s="98">
        <v>1</v>
      </c>
      <c r="I39" s="250"/>
      <c r="J39" s="251"/>
      <c r="K39" s="1"/>
      <c r="L39" s="1"/>
      <c r="M39" s="1"/>
      <c r="N39" s="1"/>
      <c r="O39" s="10"/>
    </row>
    <row r="40" spans="1:22" ht="31.8" customHeight="1" x14ac:dyDescent="0.3">
      <c r="A40" s="1"/>
      <c r="B40" s="48" t="s">
        <v>71</v>
      </c>
      <c r="C40" s="64" t="s">
        <v>42</v>
      </c>
      <c r="D40" s="60" t="s">
        <v>119</v>
      </c>
      <c r="E40" s="119">
        <v>3</v>
      </c>
      <c r="F40" s="98">
        <v>1</v>
      </c>
      <c r="G40" s="97">
        <f t="shared" si="0"/>
        <v>2</v>
      </c>
      <c r="H40" s="98">
        <v>1</v>
      </c>
      <c r="I40" s="250"/>
      <c r="J40" s="251"/>
      <c r="K40" s="1"/>
      <c r="L40" s="1"/>
      <c r="M40" s="1"/>
      <c r="N40" s="1"/>
      <c r="O40" s="10"/>
    </row>
    <row r="41" spans="1:22" s="96" customFormat="1" ht="31.8" customHeight="1" x14ac:dyDescent="0.3">
      <c r="A41" s="1"/>
      <c r="B41" s="48" t="s">
        <v>71</v>
      </c>
      <c r="C41" s="64" t="s">
        <v>45</v>
      </c>
      <c r="D41" s="60" t="s">
        <v>120</v>
      </c>
      <c r="E41" s="121">
        <v>4</v>
      </c>
      <c r="F41" s="100">
        <v>4</v>
      </c>
      <c r="G41" s="97">
        <f t="shared" si="0"/>
        <v>0</v>
      </c>
      <c r="H41" s="100">
        <v>4</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5</v>
      </c>
      <c r="F42" s="98">
        <v>3</v>
      </c>
      <c r="G42" s="97">
        <f>($E42-$F42)</f>
        <v>2</v>
      </c>
      <c r="H42" s="98">
        <v>3</v>
      </c>
      <c r="I42" s="250"/>
      <c r="J42" s="251"/>
      <c r="K42" s="1"/>
      <c r="L42" s="1"/>
      <c r="M42" s="1"/>
      <c r="N42" s="1"/>
      <c r="O42" s="10"/>
    </row>
    <row r="43" spans="1:22" ht="31.8" customHeight="1" x14ac:dyDescent="0.3">
      <c r="A43" s="1"/>
      <c r="B43" s="48" t="s">
        <v>71</v>
      </c>
      <c r="C43" s="64" t="s">
        <v>47</v>
      </c>
      <c r="D43" s="60" t="s">
        <v>121</v>
      </c>
      <c r="E43" s="119">
        <v>5</v>
      </c>
      <c r="F43" s="98">
        <v>4</v>
      </c>
      <c r="G43" s="97">
        <f t="shared" si="0"/>
        <v>1</v>
      </c>
      <c r="H43" s="98">
        <v>4</v>
      </c>
      <c r="I43" s="250"/>
      <c r="J43" s="251"/>
      <c r="K43" s="1"/>
      <c r="L43" s="1"/>
      <c r="M43" s="1"/>
      <c r="N43" s="1"/>
      <c r="O43" s="10"/>
    </row>
    <row r="44" spans="1:22" ht="31.8" customHeight="1" x14ac:dyDescent="0.3">
      <c r="A44" s="1"/>
      <c r="B44" s="48" t="s">
        <v>71</v>
      </c>
      <c r="C44" s="64" t="s">
        <v>50</v>
      </c>
      <c r="D44" s="60" t="s">
        <v>51</v>
      </c>
      <c r="E44" s="119">
        <v>4</v>
      </c>
      <c r="F44" s="100">
        <v>1</v>
      </c>
      <c r="G44" s="97">
        <f t="shared" si="0"/>
        <v>3</v>
      </c>
      <c r="H44" s="100">
        <v>1</v>
      </c>
      <c r="I44" s="250"/>
      <c r="J44" s="251"/>
      <c r="K44" s="1"/>
      <c r="L44" s="1"/>
      <c r="M44" s="1"/>
      <c r="N44" s="1"/>
      <c r="O44" s="10"/>
    </row>
    <row r="45" spans="1:22" ht="31.8" customHeight="1" x14ac:dyDescent="0.3">
      <c r="A45" s="1"/>
      <c r="B45" s="48" t="s">
        <v>71</v>
      </c>
      <c r="C45" s="64" t="s">
        <v>50</v>
      </c>
      <c r="D45" s="60" t="s">
        <v>53</v>
      </c>
      <c r="E45" s="119">
        <v>4</v>
      </c>
      <c r="F45" s="98">
        <v>1</v>
      </c>
      <c r="G45" s="97">
        <f t="shared" si="0"/>
        <v>3</v>
      </c>
      <c r="H45" s="98">
        <v>1</v>
      </c>
      <c r="I45" s="250"/>
      <c r="J45" s="251"/>
      <c r="K45" s="1"/>
      <c r="L45" s="1"/>
      <c r="M45" s="1"/>
      <c r="N45" s="1"/>
      <c r="O45" s="10"/>
    </row>
    <row r="46" spans="1:22" ht="31.8" customHeight="1" x14ac:dyDescent="0.3">
      <c r="A46" s="1"/>
      <c r="B46" s="48" t="s">
        <v>71</v>
      </c>
      <c r="C46" s="64" t="s">
        <v>50</v>
      </c>
      <c r="D46" s="60" t="s">
        <v>55</v>
      </c>
      <c r="E46" s="119">
        <v>5</v>
      </c>
      <c r="F46" s="98">
        <v>1</v>
      </c>
      <c r="G46" s="97">
        <f t="shared" si="0"/>
        <v>4</v>
      </c>
      <c r="H46" s="98">
        <v>1</v>
      </c>
      <c r="I46" s="250"/>
      <c r="J46" s="251"/>
      <c r="K46" s="1"/>
      <c r="L46" s="1"/>
      <c r="M46" s="1"/>
      <c r="N46" s="1"/>
      <c r="O46" s="10"/>
    </row>
    <row r="47" spans="1:22" ht="31.8" customHeight="1" x14ac:dyDescent="0.3">
      <c r="A47" s="1"/>
      <c r="B47" s="48" t="s">
        <v>71</v>
      </c>
      <c r="C47" s="64" t="s">
        <v>57</v>
      </c>
      <c r="D47" s="62" t="s">
        <v>58</v>
      </c>
      <c r="E47" s="119">
        <v>4</v>
      </c>
      <c r="F47" s="100">
        <v>2</v>
      </c>
      <c r="G47" s="97">
        <f t="shared" si="0"/>
        <v>2</v>
      </c>
      <c r="H47" s="100">
        <v>2</v>
      </c>
      <c r="I47" s="250"/>
      <c r="J47" s="251"/>
      <c r="K47" s="1"/>
      <c r="L47" s="1"/>
      <c r="M47" s="1"/>
      <c r="N47" s="1"/>
      <c r="O47" s="10"/>
    </row>
    <row r="48" spans="1:22" ht="31.8" customHeight="1" x14ac:dyDescent="0.3">
      <c r="A48" s="1"/>
      <c r="B48" s="64" t="s">
        <v>31</v>
      </c>
      <c r="C48" s="64" t="s">
        <v>70</v>
      </c>
      <c r="D48" s="55" t="s">
        <v>60</v>
      </c>
      <c r="E48" s="119">
        <v>4</v>
      </c>
      <c r="F48" s="98">
        <v>2</v>
      </c>
      <c r="G48" s="97">
        <f t="shared" si="0"/>
        <v>2</v>
      </c>
      <c r="H48" s="98">
        <v>2</v>
      </c>
      <c r="I48" s="250"/>
      <c r="J48" s="251"/>
      <c r="K48" s="1"/>
      <c r="L48" s="1"/>
      <c r="M48" s="1"/>
      <c r="N48" s="1"/>
      <c r="O48" s="10"/>
    </row>
    <row r="49" spans="1:15" ht="31.8" customHeight="1" x14ac:dyDescent="0.3">
      <c r="A49" s="1"/>
      <c r="B49" s="64" t="s">
        <v>31</v>
      </c>
      <c r="C49" s="64" t="s">
        <v>70</v>
      </c>
      <c r="D49" s="55" t="s">
        <v>62</v>
      </c>
      <c r="E49" s="119">
        <v>4</v>
      </c>
      <c r="F49" s="98">
        <v>1</v>
      </c>
      <c r="G49" s="97">
        <f t="shared" si="0"/>
        <v>3</v>
      </c>
      <c r="H49" s="98">
        <v>1</v>
      </c>
      <c r="I49" s="250"/>
      <c r="J49" s="251"/>
      <c r="K49" s="1"/>
      <c r="L49" s="1"/>
      <c r="M49" s="1"/>
      <c r="N49" s="1"/>
      <c r="O49" s="10"/>
    </row>
    <row r="50" spans="1:15" ht="31.8" customHeight="1" x14ac:dyDescent="0.3">
      <c r="A50" s="1"/>
      <c r="B50" s="64" t="s">
        <v>31</v>
      </c>
      <c r="C50" s="64" t="s">
        <v>70</v>
      </c>
      <c r="D50" s="55" t="s">
        <v>64</v>
      </c>
      <c r="E50" s="119">
        <v>5</v>
      </c>
      <c r="F50" s="98">
        <v>3</v>
      </c>
      <c r="G50" s="97">
        <f t="shared" si="0"/>
        <v>2</v>
      </c>
      <c r="H50" s="98">
        <v>3</v>
      </c>
      <c r="I50" s="250"/>
      <c r="J50" s="251"/>
      <c r="K50" s="1"/>
      <c r="L50" s="1"/>
      <c r="M50" s="1"/>
      <c r="N50" s="1"/>
      <c r="O50" s="10"/>
    </row>
    <row r="51" spans="1:15" ht="31.8" customHeight="1" x14ac:dyDescent="0.3">
      <c r="A51" s="1"/>
      <c r="B51" s="64" t="s">
        <v>31</v>
      </c>
      <c r="C51" s="64" t="s">
        <v>70</v>
      </c>
      <c r="D51" s="55" t="s">
        <v>66</v>
      </c>
      <c r="E51" s="119">
        <v>5</v>
      </c>
      <c r="F51" s="98">
        <v>3</v>
      </c>
      <c r="G51" s="97">
        <f t="shared" si="0"/>
        <v>2</v>
      </c>
      <c r="H51" s="98">
        <v>3</v>
      </c>
      <c r="I51" s="250"/>
      <c r="J51" s="251"/>
      <c r="K51" s="1"/>
      <c r="L51" s="1"/>
      <c r="M51" s="1"/>
      <c r="N51" s="1"/>
      <c r="O51" s="10"/>
    </row>
    <row r="52" spans="1:15" ht="31.8" customHeight="1" thickBot="1" x14ac:dyDescent="0.35">
      <c r="A52" s="1"/>
      <c r="B52" s="64" t="s">
        <v>31</v>
      </c>
      <c r="C52" s="64" t="s">
        <v>70</v>
      </c>
      <c r="D52" s="55" t="s">
        <v>68</v>
      </c>
      <c r="E52" s="122">
        <v>4</v>
      </c>
      <c r="F52" s="123">
        <v>2</v>
      </c>
      <c r="G52" s="124">
        <f t="shared" si="0"/>
        <v>2</v>
      </c>
      <c r="H52" s="123">
        <v>2</v>
      </c>
      <c r="I52" s="268"/>
      <c r="J52" s="269"/>
      <c r="K52" s="1"/>
      <c r="L52" s="1"/>
      <c r="M52" s="1"/>
      <c r="N52" s="1"/>
      <c r="O52" s="10"/>
    </row>
    <row r="53" spans="1:15" ht="31.8" customHeight="1" thickBot="1" x14ac:dyDescent="0.35">
      <c r="A53" s="1"/>
      <c r="B53" s="264" t="s">
        <v>177</v>
      </c>
      <c r="C53" s="265"/>
      <c r="D53" s="265"/>
      <c r="E53" s="130">
        <f>AVERAGE(E27:E52)</f>
        <v>4.2307692307692308</v>
      </c>
      <c r="F53" s="131">
        <f>AVERAGE(F27:F52)</f>
        <v>1.9615384615384615</v>
      </c>
      <c r="G53" s="132"/>
      <c r="H53" s="130">
        <f>AVERAGE(H27:H52)</f>
        <v>1.9615384615384615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V99"/>
  <sheetViews>
    <sheetView topLeftCell="A19" zoomScale="110" zoomScaleNormal="110" workbookViewId="0">
      <selection activeCell="H51" sqref="H51"/>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191</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214</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275</v>
      </c>
      <c r="D7" s="16"/>
      <c r="E7" s="39" t="s">
        <v>20</v>
      </c>
      <c r="F7" s="168">
        <v>8</v>
      </c>
      <c r="G7" s="16"/>
      <c r="H7" s="39" t="s">
        <v>130</v>
      </c>
      <c r="I7" s="168">
        <v>1</v>
      </c>
      <c r="J7" s="16"/>
      <c r="K7" s="16"/>
      <c r="L7" s="16"/>
      <c r="M7" s="16"/>
      <c r="N7" s="16"/>
      <c r="O7" s="16"/>
    </row>
    <row r="8" spans="1:15" x14ac:dyDescent="0.3">
      <c r="A8" s="16"/>
      <c r="B8" s="16"/>
      <c r="C8" s="16"/>
      <c r="D8" s="16"/>
      <c r="E8" s="16" t="s">
        <v>274</v>
      </c>
      <c r="F8" s="16"/>
      <c r="G8" s="16"/>
      <c r="H8" s="16"/>
      <c r="I8" s="16"/>
      <c r="J8" s="16"/>
      <c r="K8" s="16"/>
      <c r="L8" s="16"/>
      <c r="M8" s="16"/>
      <c r="N8" s="16"/>
      <c r="O8" s="16"/>
    </row>
    <row r="9" spans="1:15" ht="27.6" x14ac:dyDescent="0.3">
      <c r="A9" s="16"/>
      <c r="B9" s="39" t="s">
        <v>9</v>
      </c>
      <c r="C9" s="168" t="s">
        <v>4</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t="s">
        <v>273</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4" t="s">
        <v>272</v>
      </c>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271</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39.6" customHeight="1" thickBot="1" x14ac:dyDescent="0.35">
      <c r="A25" s="1"/>
      <c r="B25" s="255" t="s">
        <v>10</v>
      </c>
      <c r="C25" s="256"/>
      <c r="D25" s="257"/>
      <c r="E25" s="43" t="s">
        <v>4</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8</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4</v>
      </c>
      <c r="G27" s="97">
        <f>($E27-$F27)</f>
        <v>0</v>
      </c>
      <c r="H27" s="98">
        <v>4</v>
      </c>
      <c r="I27" s="262"/>
      <c r="J27" s="263"/>
      <c r="K27" s="1"/>
      <c r="L27" s="1"/>
      <c r="M27" s="1"/>
      <c r="N27" s="1"/>
      <c r="O27" s="10"/>
    </row>
    <row r="28" spans="1:15" ht="31.8" customHeight="1" x14ac:dyDescent="0.3">
      <c r="A28" s="1"/>
      <c r="B28" s="48" t="s">
        <v>71</v>
      </c>
      <c r="C28" s="64" t="s">
        <v>32</v>
      </c>
      <c r="D28" s="60" t="s">
        <v>107</v>
      </c>
      <c r="E28" s="119">
        <v>4</v>
      </c>
      <c r="F28" s="98">
        <v>4</v>
      </c>
      <c r="G28" s="97">
        <f t="shared" ref="G28:G52" si="0">($E28-$F28)</f>
        <v>0</v>
      </c>
      <c r="H28" s="98">
        <v>4</v>
      </c>
      <c r="I28" s="250"/>
      <c r="J28" s="251"/>
      <c r="K28" s="1"/>
      <c r="L28" s="1"/>
      <c r="M28" s="1"/>
      <c r="N28" s="1"/>
      <c r="O28" s="10"/>
    </row>
    <row r="29" spans="1:15" ht="31.8" customHeight="1" x14ac:dyDescent="0.3">
      <c r="A29" s="1"/>
      <c r="B29" s="48" t="s">
        <v>71</v>
      </c>
      <c r="C29" s="64" t="s">
        <v>32</v>
      </c>
      <c r="D29" s="60" t="s">
        <v>108</v>
      </c>
      <c r="E29" s="119">
        <v>4</v>
      </c>
      <c r="F29" s="98">
        <v>4</v>
      </c>
      <c r="G29" s="97">
        <f t="shared" si="0"/>
        <v>0</v>
      </c>
      <c r="H29" s="98">
        <v>4</v>
      </c>
      <c r="I29" s="250"/>
      <c r="J29" s="251"/>
      <c r="K29" s="1"/>
      <c r="L29" s="1"/>
      <c r="M29" s="1"/>
      <c r="N29" s="1"/>
      <c r="O29" s="10"/>
    </row>
    <row r="30" spans="1:15" ht="31.8" customHeight="1" x14ac:dyDescent="0.3">
      <c r="A30" s="1"/>
      <c r="B30" s="48" t="s">
        <v>71</v>
      </c>
      <c r="C30" s="64" t="s">
        <v>32</v>
      </c>
      <c r="D30" s="60" t="s">
        <v>109</v>
      </c>
      <c r="E30" s="119">
        <v>5</v>
      </c>
      <c r="F30" s="98">
        <v>4</v>
      </c>
      <c r="G30" s="97">
        <f t="shared" si="0"/>
        <v>1</v>
      </c>
      <c r="H30" s="98">
        <v>4</v>
      </c>
      <c r="I30" s="250"/>
      <c r="J30" s="251"/>
      <c r="K30" s="1"/>
      <c r="L30" s="1"/>
      <c r="M30" s="1"/>
      <c r="N30" s="1"/>
      <c r="O30" s="10"/>
    </row>
    <row r="31" spans="1:15" ht="31.8" customHeight="1" x14ac:dyDescent="0.3">
      <c r="A31" s="1"/>
      <c r="B31" s="48" t="s">
        <v>71</v>
      </c>
      <c r="C31" s="64" t="s">
        <v>33</v>
      </c>
      <c r="D31" s="60" t="s">
        <v>110</v>
      </c>
      <c r="E31" s="119">
        <v>4</v>
      </c>
      <c r="F31" s="98">
        <v>1</v>
      </c>
      <c r="G31" s="97">
        <f t="shared" si="0"/>
        <v>3</v>
      </c>
      <c r="H31" s="98">
        <v>1</v>
      </c>
      <c r="I31" s="250"/>
      <c r="J31" s="251"/>
      <c r="K31" s="1"/>
      <c r="L31" s="1"/>
      <c r="M31" s="1"/>
      <c r="N31" s="1"/>
      <c r="O31" s="10"/>
    </row>
    <row r="32" spans="1:15" ht="31.8" customHeight="1" x14ac:dyDescent="0.3">
      <c r="A32" s="1"/>
      <c r="B32" s="48" t="s">
        <v>71</v>
      </c>
      <c r="C32" s="64" t="s">
        <v>33</v>
      </c>
      <c r="D32" s="60" t="s">
        <v>111</v>
      </c>
      <c r="E32" s="119">
        <v>4</v>
      </c>
      <c r="F32" s="98">
        <v>1</v>
      </c>
      <c r="G32" s="97">
        <f t="shared" si="0"/>
        <v>3</v>
      </c>
      <c r="H32" s="98">
        <v>1</v>
      </c>
      <c r="I32" s="250"/>
      <c r="J32" s="251"/>
      <c r="K32" s="1"/>
      <c r="L32" s="1"/>
      <c r="M32" s="1"/>
      <c r="N32" s="1"/>
      <c r="O32" s="10"/>
    </row>
    <row r="33" spans="1:22" ht="31.8" customHeight="1" x14ac:dyDescent="0.3">
      <c r="A33" s="1"/>
      <c r="B33" s="48" t="s">
        <v>71</v>
      </c>
      <c r="C33" s="64" t="s">
        <v>33</v>
      </c>
      <c r="D33" s="60" t="s">
        <v>112</v>
      </c>
      <c r="E33" s="119">
        <v>5</v>
      </c>
      <c r="F33" s="98">
        <v>1</v>
      </c>
      <c r="G33" s="97">
        <f t="shared" si="0"/>
        <v>4</v>
      </c>
      <c r="H33" s="98">
        <v>1</v>
      </c>
      <c r="I33" s="250"/>
      <c r="J33" s="251"/>
      <c r="K33" s="1"/>
      <c r="L33" s="1"/>
      <c r="M33" s="1"/>
      <c r="N33" s="1"/>
      <c r="O33" s="10"/>
    </row>
    <row r="34" spans="1:22" ht="31.8" customHeight="1" x14ac:dyDescent="0.3">
      <c r="A34" s="1"/>
      <c r="B34" s="48" t="s">
        <v>71</v>
      </c>
      <c r="C34" s="64" t="s">
        <v>33</v>
      </c>
      <c r="D34" s="60" t="s">
        <v>113</v>
      </c>
      <c r="E34" s="119">
        <v>5</v>
      </c>
      <c r="F34" s="98">
        <v>1</v>
      </c>
      <c r="G34" s="97">
        <f t="shared" si="0"/>
        <v>4</v>
      </c>
      <c r="H34" s="98">
        <v>1</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8">
        <v>1</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8">
        <v>1</v>
      </c>
      <c r="I36" s="250"/>
      <c r="J36" s="251"/>
      <c r="K36" s="1"/>
      <c r="L36" s="1"/>
      <c r="M36" s="1"/>
      <c r="N36" s="1"/>
      <c r="O36" s="10"/>
    </row>
    <row r="37" spans="1:22" ht="31.8" customHeight="1" x14ac:dyDescent="0.3">
      <c r="A37" s="1"/>
      <c r="B37" s="48" t="s">
        <v>71</v>
      </c>
      <c r="C37" s="64" t="s">
        <v>39</v>
      </c>
      <c r="D37" s="60" t="s">
        <v>116</v>
      </c>
      <c r="E37" s="120">
        <v>5</v>
      </c>
      <c r="F37" s="98">
        <v>2</v>
      </c>
      <c r="G37" s="97">
        <f t="shared" si="0"/>
        <v>3</v>
      </c>
      <c r="H37" s="98">
        <v>2</v>
      </c>
      <c r="I37" s="250"/>
      <c r="J37" s="251"/>
      <c r="K37" s="1"/>
      <c r="L37" s="1"/>
      <c r="M37" s="1"/>
      <c r="N37" s="1"/>
      <c r="O37" s="10"/>
    </row>
    <row r="38" spans="1:22" ht="31.8" customHeight="1" x14ac:dyDescent="0.3">
      <c r="A38" s="1"/>
      <c r="B38" s="48" t="s">
        <v>71</v>
      </c>
      <c r="C38" s="64" t="s">
        <v>39</v>
      </c>
      <c r="D38" s="60" t="s">
        <v>117</v>
      </c>
      <c r="E38" s="120">
        <v>5</v>
      </c>
      <c r="F38" s="98">
        <v>4</v>
      </c>
      <c r="G38" s="97">
        <f t="shared" si="0"/>
        <v>1</v>
      </c>
      <c r="H38" s="98">
        <v>4</v>
      </c>
      <c r="I38" s="250"/>
      <c r="J38" s="251"/>
      <c r="K38" s="1"/>
      <c r="L38" s="1"/>
      <c r="M38" s="1"/>
      <c r="N38" s="1"/>
      <c r="O38" s="10"/>
    </row>
    <row r="39" spans="1:22" ht="31.8" customHeight="1" x14ac:dyDescent="0.3">
      <c r="A39" s="1"/>
      <c r="B39" s="48" t="s">
        <v>71</v>
      </c>
      <c r="C39" s="64" t="s">
        <v>42</v>
      </c>
      <c r="D39" s="60" t="s">
        <v>118</v>
      </c>
      <c r="E39" s="119">
        <v>4</v>
      </c>
      <c r="F39" s="98">
        <v>2</v>
      </c>
      <c r="G39" s="97">
        <f t="shared" si="0"/>
        <v>2</v>
      </c>
      <c r="H39" s="98">
        <v>2</v>
      </c>
      <c r="I39" s="250"/>
      <c r="J39" s="251"/>
      <c r="K39" s="1"/>
      <c r="L39" s="1"/>
      <c r="M39" s="1"/>
      <c r="N39" s="1"/>
      <c r="O39" s="10"/>
    </row>
    <row r="40" spans="1:22" ht="31.8" customHeight="1" x14ac:dyDescent="0.3">
      <c r="A40" s="1"/>
      <c r="B40" s="48" t="s">
        <v>71</v>
      </c>
      <c r="C40" s="64" t="s">
        <v>42</v>
      </c>
      <c r="D40" s="60" t="s">
        <v>119</v>
      </c>
      <c r="E40" s="119">
        <v>3</v>
      </c>
      <c r="F40" s="98">
        <v>2</v>
      </c>
      <c r="G40" s="97">
        <f t="shared" si="0"/>
        <v>1</v>
      </c>
      <c r="H40" s="98">
        <v>2</v>
      </c>
      <c r="I40" s="250"/>
      <c r="J40" s="251"/>
      <c r="K40" s="1"/>
      <c r="L40" s="1"/>
      <c r="M40" s="1"/>
      <c r="N40" s="1"/>
      <c r="O40" s="10"/>
    </row>
    <row r="41" spans="1:22" s="96" customFormat="1" ht="31.8" customHeight="1" x14ac:dyDescent="0.3">
      <c r="A41" s="1"/>
      <c r="B41" s="48" t="s">
        <v>71</v>
      </c>
      <c r="C41" s="64" t="s">
        <v>45</v>
      </c>
      <c r="D41" s="60" t="s">
        <v>120</v>
      </c>
      <c r="E41" s="121">
        <v>5</v>
      </c>
      <c r="F41" s="100">
        <v>2</v>
      </c>
      <c r="G41" s="97">
        <f t="shared" si="0"/>
        <v>3</v>
      </c>
      <c r="H41" s="100">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5</v>
      </c>
      <c r="F42" s="98">
        <v>4</v>
      </c>
      <c r="G42" s="97">
        <f>($E42-$F42)</f>
        <v>1</v>
      </c>
      <c r="H42" s="98">
        <v>4</v>
      </c>
      <c r="I42" s="250"/>
      <c r="J42" s="251"/>
      <c r="K42" s="1"/>
      <c r="L42" s="1"/>
      <c r="M42" s="1"/>
      <c r="N42" s="1"/>
      <c r="O42" s="10"/>
    </row>
    <row r="43" spans="1:22" ht="31.8" customHeight="1" x14ac:dyDescent="0.3">
      <c r="A43" s="1"/>
      <c r="B43" s="48" t="s">
        <v>71</v>
      </c>
      <c r="C43" s="64" t="s">
        <v>47</v>
      </c>
      <c r="D43" s="60" t="s">
        <v>121</v>
      </c>
      <c r="E43" s="119">
        <v>5</v>
      </c>
      <c r="F43" s="98">
        <v>4</v>
      </c>
      <c r="G43" s="97">
        <f t="shared" si="0"/>
        <v>1</v>
      </c>
      <c r="H43" s="98">
        <v>4</v>
      </c>
      <c r="I43" s="250"/>
      <c r="J43" s="251"/>
      <c r="K43" s="1"/>
      <c r="L43" s="1"/>
      <c r="M43" s="1"/>
      <c r="N43" s="1"/>
      <c r="O43" s="10"/>
    </row>
    <row r="44" spans="1:22" ht="31.8" customHeight="1" x14ac:dyDescent="0.3">
      <c r="A44" s="1"/>
      <c r="B44" s="48" t="s">
        <v>71</v>
      </c>
      <c r="C44" s="64" t="s">
        <v>50</v>
      </c>
      <c r="D44" s="60" t="s">
        <v>51</v>
      </c>
      <c r="E44" s="119">
        <v>4</v>
      </c>
      <c r="F44" s="100">
        <v>2</v>
      </c>
      <c r="G44" s="97">
        <f t="shared" si="0"/>
        <v>2</v>
      </c>
      <c r="H44" s="100">
        <v>2</v>
      </c>
      <c r="I44" s="250"/>
      <c r="J44" s="251"/>
      <c r="K44" s="1"/>
      <c r="L44" s="1"/>
      <c r="M44" s="1"/>
      <c r="N44" s="1"/>
      <c r="O44" s="10"/>
    </row>
    <row r="45" spans="1:22" ht="31.8" customHeight="1" x14ac:dyDescent="0.3">
      <c r="A45" s="1"/>
      <c r="B45" s="48" t="s">
        <v>71</v>
      </c>
      <c r="C45" s="64" t="s">
        <v>50</v>
      </c>
      <c r="D45" s="60" t="s">
        <v>53</v>
      </c>
      <c r="E45" s="119">
        <v>4</v>
      </c>
      <c r="F45" s="98">
        <v>1</v>
      </c>
      <c r="G45" s="97">
        <f t="shared" si="0"/>
        <v>3</v>
      </c>
      <c r="H45" s="98">
        <v>1</v>
      </c>
      <c r="I45" s="250"/>
      <c r="J45" s="251"/>
      <c r="K45" s="1"/>
      <c r="L45" s="1"/>
      <c r="M45" s="1"/>
      <c r="N45" s="1"/>
      <c r="O45" s="10"/>
    </row>
    <row r="46" spans="1:22" ht="31.8" customHeight="1" x14ac:dyDescent="0.3">
      <c r="A46" s="1"/>
      <c r="B46" s="48" t="s">
        <v>71</v>
      </c>
      <c r="C46" s="64" t="s">
        <v>50</v>
      </c>
      <c r="D46" s="60" t="s">
        <v>55</v>
      </c>
      <c r="E46" s="119">
        <v>5</v>
      </c>
      <c r="F46" s="98">
        <v>3</v>
      </c>
      <c r="G46" s="97">
        <f t="shared" si="0"/>
        <v>2</v>
      </c>
      <c r="H46" s="98">
        <v>3</v>
      </c>
      <c r="I46" s="250"/>
      <c r="J46" s="251"/>
      <c r="K46" s="1"/>
      <c r="L46" s="1"/>
      <c r="M46" s="1"/>
      <c r="N46" s="1"/>
      <c r="O46" s="10"/>
    </row>
    <row r="47" spans="1:22" ht="31.8" customHeight="1" x14ac:dyDescent="0.3">
      <c r="A47" s="1"/>
      <c r="B47" s="48" t="s">
        <v>71</v>
      </c>
      <c r="C47" s="64" t="s">
        <v>57</v>
      </c>
      <c r="D47" s="62" t="s">
        <v>58</v>
      </c>
      <c r="E47" s="119">
        <v>5</v>
      </c>
      <c r="F47" s="100">
        <v>3</v>
      </c>
      <c r="G47" s="97">
        <f t="shared" si="0"/>
        <v>2</v>
      </c>
      <c r="H47" s="100">
        <v>3</v>
      </c>
      <c r="I47" s="250"/>
      <c r="J47" s="251"/>
      <c r="K47" s="1"/>
      <c r="L47" s="1"/>
      <c r="M47" s="1"/>
      <c r="N47" s="1"/>
      <c r="O47" s="10"/>
    </row>
    <row r="48" spans="1:22" ht="31.8" customHeight="1" x14ac:dyDescent="0.3">
      <c r="A48" s="1"/>
      <c r="B48" s="64" t="s">
        <v>31</v>
      </c>
      <c r="C48" s="64" t="s">
        <v>70</v>
      </c>
      <c r="D48" s="55" t="s">
        <v>60</v>
      </c>
      <c r="E48" s="119">
        <v>5</v>
      </c>
      <c r="F48" s="98">
        <v>3</v>
      </c>
      <c r="G48" s="97">
        <f t="shared" si="0"/>
        <v>2</v>
      </c>
      <c r="H48" s="98">
        <v>3</v>
      </c>
      <c r="I48" s="250"/>
      <c r="J48" s="251"/>
      <c r="K48" s="1"/>
      <c r="L48" s="1"/>
      <c r="M48" s="1"/>
      <c r="N48" s="1"/>
      <c r="O48" s="10"/>
    </row>
    <row r="49" spans="1:15" ht="31.8" customHeight="1" x14ac:dyDescent="0.3">
      <c r="A49" s="1"/>
      <c r="B49" s="64" t="s">
        <v>31</v>
      </c>
      <c r="C49" s="64" t="s">
        <v>70</v>
      </c>
      <c r="D49" s="55" t="s">
        <v>62</v>
      </c>
      <c r="E49" s="119">
        <v>4</v>
      </c>
      <c r="F49" s="98">
        <v>3</v>
      </c>
      <c r="G49" s="97">
        <f t="shared" si="0"/>
        <v>1</v>
      </c>
      <c r="H49" s="98">
        <v>3</v>
      </c>
      <c r="I49" s="250"/>
      <c r="J49" s="251"/>
      <c r="K49" s="1"/>
      <c r="L49" s="1"/>
      <c r="M49" s="1"/>
      <c r="N49" s="1"/>
      <c r="O49" s="10"/>
    </row>
    <row r="50" spans="1:15" ht="31.8" customHeight="1" x14ac:dyDescent="0.3">
      <c r="A50" s="1"/>
      <c r="B50" s="64" t="s">
        <v>31</v>
      </c>
      <c r="C50" s="64" t="s">
        <v>70</v>
      </c>
      <c r="D50" s="55" t="s">
        <v>64</v>
      </c>
      <c r="E50" s="119">
        <v>5</v>
      </c>
      <c r="F50" s="98">
        <v>3</v>
      </c>
      <c r="G50" s="97">
        <f t="shared" si="0"/>
        <v>2</v>
      </c>
      <c r="H50" s="98">
        <v>3</v>
      </c>
      <c r="I50" s="250"/>
      <c r="J50" s="251"/>
      <c r="K50" s="1"/>
      <c r="L50" s="1"/>
      <c r="M50" s="1"/>
      <c r="N50" s="1"/>
      <c r="O50" s="10"/>
    </row>
    <row r="51" spans="1:15" ht="31.8" customHeight="1" x14ac:dyDescent="0.3">
      <c r="A51" s="1"/>
      <c r="B51" s="64" t="s">
        <v>31</v>
      </c>
      <c r="C51" s="64" t="s">
        <v>70</v>
      </c>
      <c r="D51" s="55" t="s">
        <v>66</v>
      </c>
      <c r="E51" s="119">
        <v>5</v>
      </c>
      <c r="F51" s="98">
        <v>4</v>
      </c>
      <c r="G51" s="97">
        <f t="shared" si="0"/>
        <v>1</v>
      </c>
      <c r="H51" s="98">
        <v>4</v>
      </c>
      <c r="I51" s="250"/>
      <c r="J51" s="251"/>
      <c r="K51" s="1"/>
      <c r="L51" s="1"/>
      <c r="M51" s="1"/>
      <c r="N51" s="1"/>
      <c r="O51" s="10"/>
    </row>
    <row r="52" spans="1:15" ht="31.8" customHeight="1" thickBot="1" x14ac:dyDescent="0.35">
      <c r="A52" s="1"/>
      <c r="B52" s="64" t="s">
        <v>31</v>
      </c>
      <c r="C52" s="64" t="s">
        <v>70</v>
      </c>
      <c r="D52" s="55" t="s">
        <v>68</v>
      </c>
      <c r="E52" s="122">
        <v>5</v>
      </c>
      <c r="F52" s="123">
        <v>3</v>
      </c>
      <c r="G52" s="124">
        <f t="shared" si="0"/>
        <v>2</v>
      </c>
      <c r="H52" s="123">
        <v>3</v>
      </c>
      <c r="I52" s="268"/>
      <c r="J52" s="269"/>
      <c r="K52" s="1"/>
      <c r="L52" s="1"/>
      <c r="M52" s="1"/>
      <c r="N52" s="1"/>
      <c r="O52" s="10"/>
    </row>
    <row r="53" spans="1:15" ht="31.8" customHeight="1" thickBot="1" x14ac:dyDescent="0.35">
      <c r="A53" s="1"/>
      <c r="B53" s="264" t="s">
        <v>177</v>
      </c>
      <c r="C53" s="265"/>
      <c r="D53" s="265"/>
      <c r="E53" s="130">
        <f>AVERAGE(E27:E52)</f>
        <v>4.5</v>
      </c>
      <c r="F53" s="131">
        <f>AVERAGE(F27:F52)</f>
        <v>2.5769230769230771</v>
      </c>
      <c r="G53" s="132"/>
      <c r="H53" s="130">
        <f>AVERAGE(H27:H52)</f>
        <v>2.5769230769230771</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V99"/>
  <sheetViews>
    <sheetView topLeftCell="A21" zoomScale="110" zoomScaleNormal="110" workbookViewId="0">
      <selection activeCell="I26" sqref="I26:J26"/>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190</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213</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245</v>
      </c>
      <c r="D7" s="16"/>
      <c r="E7" s="39" t="s">
        <v>20</v>
      </c>
      <c r="F7" s="168">
        <v>5</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2</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t="s">
        <v>257</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258</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3</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30</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4</v>
      </c>
      <c r="G27" s="97">
        <f>($E27-$F27)</f>
        <v>0</v>
      </c>
      <c r="H27" s="98">
        <v>4</v>
      </c>
      <c r="I27" s="262"/>
      <c r="J27" s="263"/>
      <c r="K27" s="1"/>
      <c r="L27" s="1"/>
      <c r="M27" s="1"/>
      <c r="N27" s="1"/>
      <c r="O27" s="10"/>
    </row>
    <row r="28" spans="1:15" ht="31.8" customHeight="1" x14ac:dyDescent="0.3">
      <c r="A28" s="1"/>
      <c r="B28" s="48" t="s">
        <v>71</v>
      </c>
      <c r="C28" s="64" t="s">
        <v>32</v>
      </c>
      <c r="D28" s="60" t="s">
        <v>107</v>
      </c>
      <c r="E28" s="119">
        <v>4</v>
      </c>
      <c r="F28" s="98">
        <v>4</v>
      </c>
      <c r="G28" s="97">
        <f t="shared" ref="G28:G52" si="0">($E28-$F28)</f>
        <v>0</v>
      </c>
      <c r="H28" s="98">
        <v>4</v>
      </c>
      <c r="I28" s="250"/>
      <c r="J28" s="251"/>
      <c r="K28" s="1"/>
      <c r="L28" s="1"/>
      <c r="M28" s="1"/>
      <c r="N28" s="1"/>
      <c r="O28" s="10"/>
    </row>
    <row r="29" spans="1:15" ht="31.8" customHeight="1" x14ac:dyDescent="0.3">
      <c r="A29" s="1"/>
      <c r="B29" s="48" t="s">
        <v>71</v>
      </c>
      <c r="C29" s="64" t="s">
        <v>32</v>
      </c>
      <c r="D29" s="60" t="s">
        <v>108</v>
      </c>
      <c r="E29" s="119">
        <v>4</v>
      </c>
      <c r="F29" s="98">
        <v>3</v>
      </c>
      <c r="G29" s="97">
        <f t="shared" si="0"/>
        <v>1</v>
      </c>
      <c r="H29" s="98">
        <v>3</v>
      </c>
      <c r="I29" s="250"/>
      <c r="J29" s="251"/>
      <c r="K29" s="1"/>
      <c r="L29" s="1"/>
      <c r="M29" s="1"/>
      <c r="N29" s="1"/>
      <c r="O29" s="10"/>
    </row>
    <row r="30" spans="1:15" ht="31.8" customHeight="1" x14ac:dyDescent="0.3">
      <c r="A30" s="1"/>
      <c r="B30" s="48" t="s">
        <v>71</v>
      </c>
      <c r="C30" s="64" t="s">
        <v>32</v>
      </c>
      <c r="D30" s="60" t="s">
        <v>109</v>
      </c>
      <c r="E30" s="119">
        <v>5</v>
      </c>
      <c r="F30" s="98">
        <v>4</v>
      </c>
      <c r="G30" s="97">
        <f t="shared" si="0"/>
        <v>1</v>
      </c>
      <c r="H30" s="98">
        <v>4</v>
      </c>
      <c r="I30" s="250"/>
      <c r="J30" s="251"/>
      <c r="K30" s="1"/>
      <c r="L30" s="1"/>
      <c r="M30" s="1"/>
      <c r="N30" s="1"/>
      <c r="O30" s="10"/>
    </row>
    <row r="31" spans="1:15" ht="31.8" customHeight="1" x14ac:dyDescent="0.3">
      <c r="A31" s="1"/>
      <c r="B31" s="48" t="s">
        <v>71</v>
      </c>
      <c r="C31" s="64" t="s">
        <v>33</v>
      </c>
      <c r="D31" s="60" t="s">
        <v>110</v>
      </c>
      <c r="E31" s="119">
        <v>4</v>
      </c>
      <c r="F31" s="98">
        <v>2</v>
      </c>
      <c r="G31" s="97">
        <f t="shared" si="0"/>
        <v>2</v>
      </c>
      <c r="H31" s="98">
        <v>2</v>
      </c>
      <c r="I31" s="250"/>
      <c r="J31" s="251"/>
      <c r="K31" s="1"/>
      <c r="L31" s="1"/>
      <c r="M31" s="1"/>
      <c r="N31" s="1"/>
      <c r="O31" s="10"/>
    </row>
    <row r="32" spans="1:15" ht="31.8" customHeight="1" x14ac:dyDescent="0.3">
      <c r="A32" s="1"/>
      <c r="B32" s="48" t="s">
        <v>71</v>
      </c>
      <c r="C32" s="64" t="s">
        <v>33</v>
      </c>
      <c r="D32" s="60" t="s">
        <v>111</v>
      </c>
      <c r="E32" s="119">
        <v>4</v>
      </c>
      <c r="F32" s="98">
        <v>1</v>
      </c>
      <c r="G32" s="97">
        <f t="shared" si="0"/>
        <v>3</v>
      </c>
      <c r="H32" s="98">
        <v>1</v>
      </c>
      <c r="I32" s="250"/>
      <c r="J32" s="251"/>
      <c r="K32" s="1"/>
      <c r="L32" s="1"/>
      <c r="M32" s="1"/>
      <c r="N32" s="1"/>
      <c r="O32" s="10"/>
    </row>
    <row r="33" spans="1:22" ht="31.8" customHeight="1" x14ac:dyDescent="0.3">
      <c r="A33" s="1"/>
      <c r="B33" s="48" t="s">
        <v>71</v>
      </c>
      <c r="C33" s="64" t="s">
        <v>33</v>
      </c>
      <c r="D33" s="60" t="s">
        <v>112</v>
      </c>
      <c r="E33" s="119">
        <v>4</v>
      </c>
      <c r="F33" s="98">
        <v>2</v>
      </c>
      <c r="G33" s="97">
        <f t="shared" si="0"/>
        <v>2</v>
      </c>
      <c r="H33" s="98">
        <v>2</v>
      </c>
      <c r="I33" s="250"/>
      <c r="J33" s="251"/>
      <c r="K33" s="1"/>
      <c r="L33" s="1"/>
      <c r="M33" s="1"/>
      <c r="N33" s="1"/>
      <c r="O33" s="10"/>
    </row>
    <row r="34" spans="1:22" ht="31.8" customHeight="1" x14ac:dyDescent="0.3">
      <c r="A34" s="1"/>
      <c r="B34" s="48" t="s">
        <v>71</v>
      </c>
      <c r="C34" s="64" t="s">
        <v>33</v>
      </c>
      <c r="D34" s="60" t="s">
        <v>113</v>
      </c>
      <c r="E34" s="119">
        <v>5</v>
      </c>
      <c r="F34" s="98">
        <v>1</v>
      </c>
      <c r="G34" s="97">
        <f t="shared" si="0"/>
        <v>4</v>
      </c>
      <c r="H34" s="98">
        <v>1</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8">
        <v>1</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8">
        <v>1</v>
      </c>
      <c r="I36" s="250"/>
      <c r="J36" s="251"/>
      <c r="K36" s="1"/>
      <c r="L36" s="1"/>
      <c r="M36" s="1"/>
      <c r="N36" s="1"/>
      <c r="O36" s="10"/>
    </row>
    <row r="37" spans="1:22" ht="31.8" customHeight="1" x14ac:dyDescent="0.3">
      <c r="A37" s="1"/>
      <c r="B37" s="48" t="s">
        <v>71</v>
      </c>
      <c r="C37" s="64" t="s">
        <v>39</v>
      </c>
      <c r="D37" s="60" t="s">
        <v>116</v>
      </c>
      <c r="E37" s="120">
        <v>4</v>
      </c>
      <c r="F37" s="98">
        <v>1</v>
      </c>
      <c r="G37" s="97">
        <f t="shared" si="0"/>
        <v>3</v>
      </c>
      <c r="H37" s="98">
        <v>1</v>
      </c>
      <c r="I37" s="250"/>
      <c r="J37" s="251"/>
      <c r="K37" s="1"/>
      <c r="L37" s="1"/>
      <c r="M37" s="1"/>
      <c r="N37" s="1"/>
      <c r="O37" s="10"/>
    </row>
    <row r="38" spans="1:22" ht="31.8" customHeight="1" x14ac:dyDescent="0.3">
      <c r="A38" s="1"/>
      <c r="B38" s="48" t="s">
        <v>71</v>
      </c>
      <c r="C38" s="64" t="s">
        <v>39</v>
      </c>
      <c r="D38" s="60" t="s">
        <v>117</v>
      </c>
      <c r="E38" s="120">
        <v>4</v>
      </c>
      <c r="F38" s="98">
        <v>2</v>
      </c>
      <c r="G38" s="97">
        <f t="shared" si="0"/>
        <v>2</v>
      </c>
      <c r="H38" s="98">
        <v>2</v>
      </c>
      <c r="I38" s="250"/>
      <c r="J38" s="251"/>
      <c r="K38" s="1"/>
      <c r="L38" s="1"/>
      <c r="M38" s="1"/>
      <c r="N38" s="1"/>
      <c r="O38" s="10"/>
    </row>
    <row r="39" spans="1:22" ht="31.8" customHeight="1" x14ac:dyDescent="0.3">
      <c r="A39" s="1"/>
      <c r="B39" s="48" t="s">
        <v>71</v>
      </c>
      <c r="C39" s="64" t="s">
        <v>42</v>
      </c>
      <c r="D39" s="60" t="s">
        <v>118</v>
      </c>
      <c r="E39" s="119">
        <v>4</v>
      </c>
      <c r="F39" s="98">
        <v>1</v>
      </c>
      <c r="G39" s="97">
        <f t="shared" si="0"/>
        <v>3</v>
      </c>
      <c r="H39" s="98">
        <v>1</v>
      </c>
      <c r="I39" s="250"/>
      <c r="J39" s="251"/>
      <c r="K39" s="1"/>
      <c r="L39" s="1"/>
      <c r="M39" s="1"/>
      <c r="N39" s="1"/>
      <c r="O39" s="10"/>
    </row>
    <row r="40" spans="1:22" ht="31.8" customHeight="1" x14ac:dyDescent="0.3">
      <c r="A40" s="1"/>
      <c r="B40" s="48" t="s">
        <v>71</v>
      </c>
      <c r="C40" s="64" t="s">
        <v>42</v>
      </c>
      <c r="D40" s="60" t="s">
        <v>119</v>
      </c>
      <c r="E40" s="119">
        <v>3</v>
      </c>
      <c r="F40" s="98">
        <v>1</v>
      </c>
      <c r="G40" s="97">
        <f t="shared" si="0"/>
        <v>2</v>
      </c>
      <c r="H40" s="98">
        <v>1</v>
      </c>
      <c r="I40" s="250"/>
      <c r="J40" s="251"/>
      <c r="K40" s="1"/>
      <c r="L40" s="1"/>
      <c r="M40" s="1"/>
      <c r="N40" s="1"/>
      <c r="O40" s="10"/>
    </row>
    <row r="41" spans="1:22" s="96" customFormat="1" ht="31.8" customHeight="1" x14ac:dyDescent="0.3">
      <c r="A41" s="1"/>
      <c r="B41" s="48" t="s">
        <v>71</v>
      </c>
      <c r="C41" s="64" t="s">
        <v>45</v>
      </c>
      <c r="D41" s="60" t="s">
        <v>120</v>
      </c>
      <c r="E41" s="121">
        <v>4</v>
      </c>
      <c r="F41" s="100">
        <v>2</v>
      </c>
      <c r="G41" s="97">
        <f t="shared" si="0"/>
        <v>2</v>
      </c>
      <c r="H41" s="100">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5</v>
      </c>
      <c r="F42" s="98">
        <v>1</v>
      </c>
      <c r="G42" s="97">
        <f>($E42-$F42)</f>
        <v>4</v>
      </c>
      <c r="H42" s="98">
        <v>1</v>
      </c>
      <c r="I42" s="250"/>
      <c r="J42" s="251"/>
      <c r="K42" s="1"/>
      <c r="L42" s="1"/>
      <c r="M42" s="1"/>
      <c r="N42" s="1"/>
      <c r="O42" s="10"/>
    </row>
    <row r="43" spans="1:22" ht="31.8" customHeight="1" x14ac:dyDescent="0.3">
      <c r="A43" s="1"/>
      <c r="B43" s="48" t="s">
        <v>71</v>
      </c>
      <c r="C43" s="64" t="s">
        <v>47</v>
      </c>
      <c r="D43" s="60" t="s">
        <v>121</v>
      </c>
      <c r="E43" s="119">
        <v>5</v>
      </c>
      <c r="F43" s="98">
        <v>1</v>
      </c>
      <c r="G43" s="97">
        <f t="shared" si="0"/>
        <v>4</v>
      </c>
      <c r="H43" s="98">
        <v>1</v>
      </c>
      <c r="I43" s="250"/>
      <c r="J43" s="251"/>
      <c r="K43" s="1"/>
      <c r="L43" s="1"/>
      <c r="M43" s="1"/>
      <c r="N43" s="1"/>
      <c r="O43" s="10"/>
    </row>
    <row r="44" spans="1:22" ht="31.8" customHeight="1" x14ac:dyDescent="0.3">
      <c r="A44" s="1"/>
      <c r="B44" s="48" t="s">
        <v>71</v>
      </c>
      <c r="C44" s="64" t="s">
        <v>50</v>
      </c>
      <c r="D44" s="60" t="s">
        <v>51</v>
      </c>
      <c r="E44" s="119">
        <v>4</v>
      </c>
      <c r="F44" s="100">
        <v>1</v>
      </c>
      <c r="G44" s="97">
        <f t="shared" si="0"/>
        <v>3</v>
      </c>
      <c r="H44" s="100">
        <v>1</v>
      </c>
      <c r="I44" s="250"/>
      <c r="J44" s="251"/>
      <c r="K44" s="1"/>
      <c r="L44" s="1"/>
      <c r="M44" s="1"/>
      <c r="N44" s="1"/>
      <c r="O44" s="10"/>
    </row>
    <row r="45" spans="1:22" ht="31.8" customHeight="1" x14ac:dyDescent="0.3">
      <c r="A45" s="1"/>
      <c r="B45" s="48" t="s">
        <v>71</v>
      </c>
      <c r="C45" s="64" t="s">
        <v>50</v>
      </c>
      <c r="D45" s="60" t="s">
        <v>53</v>
      </c>
      <c r="E45" s="119">
        <v>4</v>
      </c>
      <c r="F45" s="98">
        <v>2</v>
      </c>
      <c r="G45" s="97">
        <f t="shared" si="0"/>
        <v>2</v>
      </c>
      <c r="H45" s="98">
        <v>2</v>
      </c>
      <c r="I45" s="250"/>
      <c r="J45" s="251"/>
      <c r="K45" s="1"/>
      <c r="L45" s="1"/>
      <c r="M45" s="1"/>
      <c r="N45" s="1"/>
      <c r="O45" s="10"/>
    </row>
    <row r="46" spans="1:22" ht="31.8" customHeight="1" x14ac:dyDescent="0.3">
      <c r="A46" s="1"/>
      <c r="B46" s="48" t="s">
        <v>71</v>
      </c>
      <c r="C46" s="64" t="s">
        <v>50</v>
      </c>
      <c r="D46" s="60" t="s">
        <v>55</v>
      </c>
      <c r="E46" s="119">
        <v>5</v>
      </c>
      <c r="F46" s="98">
        <v>2</v>
      </c>
      <c r="G46" s="97">
        <f t="shared" si="0"/>
        <v>3</v>
      </c>
      <c r="H46" s="98">
        <v>2</v>
      </c>
      <c r="I46" s="250"/>
      <c r="J46" s="251"/>
      <c r="K46" s="1"/>
      <c r="L46" s="1"/>
      <c r="M46" s="1"/>
      <c r="N46" s="1"/>
      <c r="O46" s="10"/>
    </row>
    <row r="47" spans="1:22" ht="31.8" customHeight="1" x14ac:dyDescent="0.3">
      <c r="A47" s="1"/>
      <c r="B47" s="48" t="s">
        <v>71</v>
      </c>
      <c r="C47" s="64" t="s">
        <v>57</v>
      </c>
      <c r="D47" s="62" t="s">
        <v>58</v>
      </c>
      <c r="E47" s="119">
        <v>4</v>
      </c>
      <c r="F47" s="100">
        <v>1</v>
      </c>
      <c r="G47" s="97">
        <f t="shared" si="0"/>
        <v>3</v>
      </c>
      <c r="H47" s="100">
        <v>1</v>
      </c>
      <c r="I47" s="250"/>
      <c r="J47" s="251"/>
      <c r="K47" s="1"/>
      <c r="L47" s="1"/>
      <c r="M47" s="1"/>
      <c r="N47" s="1"/>
      <c r="O47" s="10"/>
    </row>
    <row r="48" spans="1:22" ht="31.8" customHeight="1" x14ac:dyDescent="0.3">
      <c r="A48" s="1"/>
      <c r="B48" s="64" t="s">
        <v>31</v>
      </c>
      <c r="C48" s="64" t="s">
        <v>70</v>
      </c>
      <c r="D48" s="55" t="s">
        <v>60</v>
      </c>
      <c r="E48" s="119">
        <v>4</v>
      </c>
      <c r="F48" s="98">
        <v>3</v>
      </c>
      <c r="G48" s="97">
        <f t="shared" si="0"/>
        <v>1</v>
      </c>
      <c r="H48" s="98">
        <v>3</v>
      </c>
      <c r="I48" s="250"/>
      <c r="J48" s="251"/>
      <c r="K48" s="1"/>
      <c r="L48" s="1"/>
      <c r="M48" s="1"/>
      <c r="N48" s="1"/>
      <c r="O48" s="10"/>
    </row>
    <row r="49" spans="1:15" ht="31.8" customHeight="1" x14ac:dyDescent="0.3">
      <c r="A49" s="1"/>
      <c r="B49" s="64" t="s">
        <v>31</v>
      </c>
      <c r="C49" s="64" t="s">
        <v>70</v>
      </c>
      <c r="D49" s="55" t="s">
        <v>62</v>
      </c>
      <c r="E49" s="119">
        <v>4</v>
      </c>
      <c r="F49" s="98">
        <v>1</v>
      </c>
      <c r="G49" s="97">
        <f t="shared" si="0"/>
        <v>3</v>
      </c>
      <c r="H49" s="98">
        <v>1</v>
      </c>
      <c r="I49" s="250"/>
      <c r="J49" s="251"/>
      <c r="K49" s="1"/>
      <c r="L49" s="1"/>
      <c r="M49" s="1"/>
      <c r="N49" s="1"/>
      <c r="O49" s="10"/>
    </row>
    <row r="50" spans="1:15" ht="31.8" customHeight="1" x14ac:dyDescent="0.3">
      <c r="A50" s="1"/>
      <c r="B50" s="64" t="s">
        <v>31</v>
      </c>
      <c r="C50" s="64" t="s">
        <v>70</v>
      </c>
      <c r="D50" s="55" t="s">
        <v>64</v>
      </c>
      <c r="E50" s="119">
        <v>5</v>
      </c>
      <c r="F50" s="98">
        <v>3</v>
      </c>
      <c r="G50" s="97">
        <f t="shared" si="0"/>
        <v>2</v>
      </c>
      <c r="H50" s="98">
        <v>3</v>
      </c>
      <c r="I50" s="250"/>
      <c r="J50" s="251"/>
      <c r="K50" s="1"/>
      <c r="L50" s="1"/>
      <c r="M50" s="1"/>
      <c r="N50" s="1"/>
      <c r="O50" s="10"/>
    </row>
    <row r="51" spans="1:15" ht="31.8" customHeight="1" x14ac:dyDescent="0.3">
      <c r="A51" s="1"/>
      <c r="B51" s="64" t="s">
        <v>31</v>
      </c>
      <c r="C51" s="64" t="s">
        <v>70</v>
      </c>
      <c r="D51" s="55" t="s">
        <v>66</v>
      </c>
      <c r="E51" s="119">
        <v>5</v>
      </c>
      <c r="F51" s="98">
        <v>3</v>
      </c>
      <c r="G51" s="97">
        <f t="shared" si="0"/>
        <v>2</v>
      </c>
      <c r="H51" s="98">
        <v>3</v>
      </c>
      <c r="I51" s="250"/>
      <c r="J51" s="251"/>
      <c r="K51" s="1"/>
      <c r="L51" s="1"/>
      <c r="M51" s="1"/>
      <c r="N51" s="1"/>
      <c r="O51" s="10"/>
    </row>
    <row r="52" spans="1:15" ht="31.8" customHeight="1" thickBot="1" x14ac:dyDescent="0.35">
      <c r="A52" s="1"/>
      <c r="B52" s="64" t="s">
        <v>31</v>
      </c>
      <c r="C52" s="64" t="s">
        <v>70</v>
      </c>
      <c r="D52" s="55" t="s">
        <v>68</v>
      </c>
      <c r="E52" s="122">
        <v>4</v>
      </c>
      <c r="F52" s="123">
        <v>3</v>
      </c>
      <c r="G52" s="124">
        <f t="shared" si="0"/>
        <v>1</v>
      </c>
      <c r="H52" s="123">
        <v>3</v>
      </c>
      <c r="I52" s="268"/>
      <c r="J52" s="269"/>
      <c r="K52" s="1"/>
      <c r="L52" s="1"/>
      <c r="M52" s="1"/>
      <c r="N52" s="1"/>
      <c r="O52" s="10"/>
    </row>
    <row r="53" spans="1:15" ht="31.8" customHeight="1" thickBot="1" x14ac:dyDescent="0.35">
      <c r="A53" s="1"/>
      <c r="B53" s="264" t="s">
        <v>177</v>
      </c>
      <c r="C53" s="265"/>
      <c r="D53" s="265"/>
      <c r="E53" s="130">
        <f>AVERAGE(E27:E52)</f>
        <v>4.2307692307692308</v>
      </c>
      <c r="F53" s="131">
        <f>AVERAGE(F27:F52)</f>
        <v>1.9615384615384615</v>
      </c>
      <c r="G53" s="132"/>
      <c r="H53" s="130">
        <f>AVERAGE(H27:H52)</f>
        <v>1.9615384615384615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V99"/>
  <sheetViews>
    <sheetView topLeftCell="A37" zoomScale="110" zoomScaleNormal="110" workbookViewId="0"/>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189</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212</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235</v>
      </c>
      <c r="D7" s="16"/>
      <c r="E7" s="39" t="s">
        <v>20</v>
      </c>
      <c r="F7" s="171" t="s">
        <v>233</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2</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t="s">
        <v>232</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t="s">
        <v>234</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2</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29</v>
      </c>
      <c r="F26" s="47" t="s">
        <v>137</v>
      </c>
      <c r="G26" s="47" t="s">
        <v>141</v>
      </c>
      <c r="H26" s="185" t="s">
        <v>142</v>
      </c>
      <c r="I26" s="297" t="s">
        <v>145</v>
      </c>
      <c r="J26" s="297"/>
      <c r="K26" s="1"/>
      <c r="L26" s="1"/>
      <c r="M26" s="1"/>
      <c r="N26" s="1"/>
      <c r="O26" s="10"/>
    </row>
    <row r="27" spans="1:15" ht="31.8" customHeight="1" x14ac:dyDescent="0.3">
      <c r="A27" s="1"/>
      <c r="B27" s="177" t="s">
        <v>71</v>
      </c>
      <c r="C27" s="178" t="s">
        <v>32</v>
      </c>
      <c r="D27" s="179" t="s">
        <v>106</v>
      </c>
      <c r="E27" s="180">
        <v>4</v>
      </c>
      <c r="F27" s="181">
        <v>2</v>
      </c>
      <c r="G27" s="195">
        <f>($E27-$F27)</f>
        <v>2</v>
      </c>
      <c r="H27" s="186">
        <v>3</v>
      </c>
      <c r="I27" s="297" t="s">
        <v>237</v>
      </c>
      <c r="J27" s="297"/>
      <c r="K27" s="1"/>
      <c r="L27" s="1"/>
      <c r="M27" s="1"/>
      <c r="N27" s="1"/>
      <c r="O27" s="10"/>
    </row>
    <row r="28" spans="1:15" ht="31.8" customHeight="1" x14ac:dyDescent="0.3">
      <c r="A28" s="1"/>
      <c r="B28" s="177" t="s">
        <v>71</v>
      </c>
      <c r="C28" s="178" t="s">
        <v>32</v>
      </c>
      <c r="D28" s="179" t="s">
        <v>107</v>
      </c>
      <c r="E28" s="180">
        <v>3</v>
      </c>
      <c r="F28" s="181">
        <v>2</v>
      </c>
      <c r="G28" s="195">
        <f t="shared" ref="G28:G52" si="0">($E28-$F28)</f>
        <v>1</v>
      </c>
      <c r="H28" s="186">
        <v>2</v>
      </c>
      <c r="I28" s="297" t="s">
        <v>237</v>
      </c>
      <c r="J28" s="297"/>
      <c r="K28" s="1"/>
      <c r="L28" s="1"/>
      <c r="M28" s="1"/>
      <c r="N28" s="1"/>
      <c r="O28" s="10"/>
    </row>
    <row r="29" spans="1:15" ht="31.8" customHeight="1" x14ac:dyDescent="0.3">
      <c r="A29" s="1"/>
      <c r="B29" s="177" t="s">
        <v>71</v>
      </c>
      <c r="C29" s="178" t="s">
        <v>32</v>
      </c>
      <c r="D29" s="179" t="s">
        <v>108</v>
      </c>
      <c r="E29" s="180">
        <v>3</v>
      </c>
      <c r="F29" s="181">
        <v>2</v>
      </c>
      <c r="G29" s="195">
        <f t="shared" si="0"/>
        <v>1</v>
      </c>
      <c r="H29" s="186">
        <v>3</v>
      </c>
      <c r="I29" s="297" t="s">
        <v>237</v>
      </c>
      <c r="J29" s="297"/>
      <c r="K29" s="1"/>
      <c r="L29" s="1"/>
      <c r="M29" s="1"/>
      <c r="N29" s="1"/>
      <c r="O29" s="10"/>
    </row>
    <row r="30" spans="1:15" ht="31.8" customHeight="1" x14ac:dyDescent="0.3">
      <c r="A30" s="1"/>
      <c r="B30" s="177" t="s">
        <v>71</v>
      </c>
      <c r="C30" s="178" t="s">
        <v>32</v>
      </c>
      <c r="D30" s="179" t="s">
        <v>109</v>
      </c>
      <c r="E30" s="180">
        <v>4</v>
      </c>
      <c r="F30" s="181">
        <v>2</v>
      </c>
      <c r="G30" s="195">
        <f t="shared" si="0"/>
        <v>2</v>
      </c>
      <c r="H30" s="186">
        <v>3</v>
      </c>
      <c r="I30" s="297" t="s">
        <v>237</v>
      </c>
      <c r="J30" s="297"/>
      <c r="K30" s="1"/>
      <c r="L30" s="1"/>
      <c r="M30" s="1"/>
      <c r="N30" s="1"/>
      <c r="O30" s="10"/>
    </row>
    <row r="31" spans="1:15" ht="31.8" customHeight="1" x14ac:dyDescent="0.3">
      <c r="A31" s="1"/>
      <c r="B31" s="48" t="s">
        <v>71</v>
      </c>
      <c r="C31" s="64" t="s">
        <v>33</v>
      </c>
      <c r="D31" s="60" t="s">
        <v>110</v>
      </c>
      <c r="E31" s="119">
        <v>3</v>
      </c>
      <c r="F31" s="98">
        <v>1</v>
      </c>
      <c r="G31" s="196">
        <f t="shared" si="0"/>
        <v>2</v>
      </c>
      <c r="H31" s="187">
        <v>1</v>
      </c>
      <c r="I31" s="297"/>
      <c r="J31" s="297"/>
      <c r="K31" s="1"/>
      <c r="L31" s="1"/>
      <c r="M31" s="1"/>
      <c r="N31" s="1"/>
      <c r="O31" s="10"/>
    </row>
    <row r="32" spans="1:15" ht="31.8" customHeight="1" x14ac:dyDescent="0.3">
      <c r="A32" s="1"/>
      <c r="B32" s="48" t="s">
        <v>71</v>
      </c>
      <c r="C32" s="64" t="s">
        <v>33</v>
      </c>
      <c r="D32" s="60" t="s">
        <v>111</v>
      </c>
      <c r="E32" s="119">
        <v>3</v>
      </c>
      <c r="F32" s="98">
        <v>1</v>
      </c>
      <c r="G32" s="196">
        <f t="shared" si="0"/>
        <v>2</v>
      </c>
      <c r="H32" s="187">
        <v>1</v>
      </c>
      <c r="I32" s="297"/>
      <c r="J32" s="297"/>
      <c r="K32" s="1"/>
      <c r="L32" s="1"/>
      <c r="M32" s="1"/>
      <c r="N32" s="1"/>
      <c r="O32" s="10"/>
    </row>
    <row r="33" spans="1:22" ht="31.8" customHeight="1" x14ac:dyDescent="0.3">
      <c r="A33" s="1"/>
      <c r="B33" s="48" t="s">
        <v>71</v>
      </c>
      <c r="C33" s="64" t="s">
        <v>33</v>
      </c>
      <c r="D33" s="60" t="s">
        <v>112</v>
      </c>
      <c r="E33" s="119">
        <v>3</v>
      </c>
      <c r="F33" s="98">
        <v>1</v>
      </c>
      <c r="G33" s="196">
        <f t="shared" si="0"/>
        <v>2</v>
      </c>
      <c r="H33" s="187">
        <v>1</v>
      </c>
      <c r="I33" s="297"/>
      <c r="J33" s="297"/>
      <c r="K33" s="1"/>
      <c r="L33" s="1"/>
      <c r="M33" s="1"/>
      <c r="N33" s="1"/>
      <c r="O33" s="10"/>
    </row>
    <row r="34" spans="1:22" ht="31.8" customHeight="1" x14ac:dyDescent="0.3">
      <c r="A34" s="1"/>
      <c r="B34" s="48" t="s">
        <v>71</v>
      </c>
      <c r="C34" s="64" t="s">
        <v>33</v>
      </c>
      <c r="D34" s="60" t="s">
        <v>113</v>
      </c>
      <c r="E34" s="119">
        <v>4</v>
      </c>
      <c r="F34" s="98">
        <v>1</v>
      </c>
      <c r="G34" s="196">
        <f t="shared" si="0"/>
        <v>3</v>
      </c>
      <c r="H34" s="187">
        <v>1</v>
      </c>
      <c r="I34" s="297"/>
      <c r="J34" s="297"/>
      <c r="K34" s="1"/>
      <c r="L34" s="1"/>
      <c r="M34" s="1"/>
      <c r="N34" s="1"/>
      <c r="O34" s="10"/>
    </row>
    <row r="35" spans="1:22" ht="31.8" customHeight="1" x14ac:dyDescent="0.3">
      <c r="A35" s="1"/>
      <c r="B35" s="48" t="s">
        <v>71</v>
      </c>
      <c r="C35" s="64" t="s">
        <v>38</v>
      </c>
      <c r="D35" s="60" t="s">
        <v>114</v>
      </c>
      <c r="E35" s="119">
        <v>4</v>
      </c>
      <c r="F35" s="98">
        <v>1</v>
      </c>
      <c r="G35" s="196">
        <f t="shared" si="0"/>
        <v>3</v>
      </c>
      <c r="H35" s="187">
        <v>1</v>
      </c>
      <c r="I35" s="297"/>
      <c r="J35" s="297"/>
      <c r="K35" s="1"/>
      <c r="L35" s="1"/>
      <c r="M35" s="1"/>
      <c r="N35" s="1"/>
      <c r="O35" s="10"/>
    </row>
    <row r="36" spans="1:22" ht="31.8" customHeight="1" x14ac:dyDescent="0.3">
      <c r="A36" s="1"/>
      <c r="B36" s="48" t="s">
        <v>71</v>
      </c>
      <c r="C36" s="64" t="s">
        <v>38</v>
      </c>
      <c r="D36" s="60" t="s">
        <v>115</v>
      </c>
      <c r="E36" s="119">
        <v>4</v>
      </c>
      <c r="F36" s="98">
        <v>1</v>
      </c>
      <c r="G36" s="196">
        <f t="shared" si="0"/>
        <v>3</v>
      </c>
      <c r="H36" s="187">
        <v>1</v>
      </c>
      <c r="I36" s="297"/>
      <c r="J36" s="297"/>
      <c r="K36" s="1"/>
      <c r="L36" s="1"/>
      <c r="M36" s="1"/>
      <c r="N36" s="1"/>
      <c r="O36" s="10"/>
    </row>
    <row r="37" spans="1:22" ht="31.8" customHeight="1" x14ac:dyDescent="0.3">
      <c r="A37" s="1"/>
      <c r="B37" s="48" t="s">
        <v>71</v>
      </c>
      <c r="C37" s="191" t="s">
        <v>39</v>
      </c>
      <c r="D37" s="193" t="s">
        <v>116</v>
      </c>
      <c r="E37" s="194">
        <v>4</v>
      </c>
      <c r="F37" s="100">
        <v>3</v>
      </c>
      <c r="G37" s="197">
        <f t="shared" si="0"/>
        <v>1</v>
      </c>
      <c r="H37" s="188">
        <v>3</v>
      </c>
      <c r="I37" s="297"/>
      <c r="J37" s="297"/>
      <c r="K37" s="1"/>
      <c r="L37" s="1"/>
      <c r="M37" s="1"/>
      <c r="N37" s="1"/>
      <c r="O37" s="10"/>
    </row>
    <row r="38" spans="1:22" ht="31.8" customHeight="1" x14ac:dyDescent="0.3">
      <c r="A38" s="1"/>
      <c r="B38" s="48" t="s">
        <v>71</v>
      </c>
      <c r="C38" s="191" t="s">
        <v>39</v>
      </c>
      <c r="D38" s="193" t="s">
        <v>117</v>
      </c>
      <c r="E38" s="194">
        <v>4</v>
      </c>
      <c r="F38" s="100">
        <v>3</v>
      </c>
      <c r="G38" s="197">
        <f t="shared" si="0"/>
        <v>1</v>
      </c>
      <c r="H38" s="188">
        <v>3</v>
      </c>
      <c r="I38" s="297"/>
      <c r="J38" s="297"/>
      <c r="K38" s="1"/>
      <c r="L38" s="1"/>
      <c r="M38" s="1"/>
      <c r="N38" s="1"/>
      <c r="O38" s="10"/>
    </row>
    <row r="39" spans="1:22" ht="31.8" customHeight="1" x14ac:dyDescent="0.3">
      <c r="A39" s="1"/>
      <c r="B39" s="48" t="s">
        <v>71</v>
      </c>
      <c r="C39" s="191" t="s">
        <v>42</v>
      </c>
      <c r="D39" s="193" t="s">
        <v>118</v>
      </c>
      <c r="E39" s="121">
        <v>3</v>
      </c>
      <c r="F39" s="100">
        <v>2</v>
      </c>
      <c r="G39" s="197">
        <f t="shared" si="0"/>
        <v>1</v>
      </c>
      <c r="H39" s="188">
        <v>2</v>
      </c>
      <c r="I39" s="297"/>
      <c r="J39" s="297"/>
      <c r="K39" s="1"/>
      <c r="L39" s="1"/>
      <c r="M39" s="1"/>
      <c r="N39" s="1"/>
      <c r="O39" s="10"/>
    </row>
    <row r="40" spans="1:22" ht="31.8" customHeight="1" x14ac:dyDescent="0.3">
      <c r="A40" s="1"/>
      <c r="B40" s="48" t="s">
        <v>71</v>
      </c>
      <c r="C40" s="191" t="s">
        <v>42</v>
      </c>
      <c r="D40" s="193" t="s">
        <v>119</v>
      </c>
      <c r="E40" s="121">
        <v>3</v>
      </c>
      <c r="F40" s="100">
        <v>1</v>
      </c>
      <c r="G40" s="197">
        <f t="shared" si="0"/>
        <v>2</v>
      </c>
      <c r="H40" s="188">
        <v>1</v>
      </c>
      <c r="I40" s="297"/>
      <c r="J40" s="297"/>
      <c r="K40" s="1"/>
      <c r="L40" s="1"/>
      <c r="M40" s="1"/>
      <c r="N40" s="1"/>
      <c r="O40" s="10"/>
    </row>
    <row r="41" spans="1:22" s="96" customFormat="1" ht="31.8" customHeight="1" x14ac:dyDescent="0.3">
      <c r="A41" s="1"/>
      <c r="B41" s="48" t="s">
        <v>71</v>
      </c>
      <c r="C41" s="191" t="s">
        <v>45</v>
      </c>
      <c r="D41" s="193" t="s">
        <v>120</v>
      </c>
      <c r="E41" s="121">
        <v>4</v>
      </c>
      <c r="F41" s="100">
        <v>3</v>
      </c>
      <c r="G41" s="197">
        <f t="shared" si="0"/>
        <v>1</v>
      </c>
      <c r="H41" s="188">
        <v>3</v>
      </c>
      <c r="I41" s="297"/>
      <c r="J41" s="297"/>
      <c r="K41" s="1"/>
      <c r="L41" s="1"/>
      <c r="M41" s="1"/>
      <c r="N41" s="1"/>
      <c r="O41" s="1"/>
      <c r="P41" s="95"/>
      <c r="Q41" s="95"/>
      <c r="R41" s="95"/>
      <c r="S41" s="95"/>
      <c r="T41" s="95"/>
      <c r="U41" s="95"/>
      <c r="V41" s="95"/>
    </row>
    <row r="42" spans="1:22" ht="31.8" customHeight="1" x14ac:dyDescent="0.3">
      <c r="A42" s="1"/>
      <c r="B42" s="48" t="s">
        <v>71</v>
      </c>
      <c r="C42" s="64" t="s">
        <v>47</v>
      </c>
      <c r="D42" s="60" t="s">
        <v>48</v>
      </c>
      <c r="E42" s="119">
        <v>4</v>
      </c>
      <c r="F42" s="98">
        <v>1</v>
      </c>
      <c r="G42" s="196">
        <f>($E42-$F42)</f>
        <v>3</v>
      </c>
      <c r="H42" s="187">
        <v>1</v>
      </c>
      <c r="I42" s="297"/>
      <c r="J42" s="297"/>
      <c r="K42" s="1"/>
      <c r="L42" s="1"/>
      <c r="M42" s="1"/>
      <c r="N42" s="1"/>
      <c r="O42" s="10"/>
    </row>
    <row r="43" spans="1:22" ht="31.8" customHeight="1" x14ac:dyDescent="0.3">
      <c r="A43" s="1"/>
      <c r="B43" s="48" t="s">
        <v>71</v>
      </c>
      <c r="C43" s="64" t="s">
        <v>47</v>
      </c>
      <c r="D43" s="60" t="s">
        <v>121</v>
      </c>
      <c r="E43" s="119">
        <v>4</v>
      </c>
      <c r="F43" s="98">
        <v>1</v>
      </c>
      <c r="G43" s="196">
        <f t="shared" si="0"/>
        <v>3</v>
      </c>
      <c r="H43" s="187">
        <v>1</v>
      </c>
      <c r="I43" s="297"/>
      <c r="J43" s="297"/>
      <c r="K43" s="1"/>
      <c r="L43" s="1"/>
      <c r="M43" s="1"/>
      <c r="N43" s="1"/>
      <c r="O43" s="10"/>
    </row>
    <row r="44" spans="1:22" ht="31.8" customHeight="1" x14ac:dyDescent="0.3">
      <c r="A44" s="1"/>
      <c r="B44" s="48" t="s">
        <v>71</v>
      </c>
      <c r="C44" s="64" t="s">
        <v>50</v>
      </c>
      <c r="D44" s="60" t="s">
        <v>51</v>
      </c>
      <c r="E44" s="119">
        <v>3</v>
      </c>
      <c r="F44" s="100">
        <v>1</v>
      </c>
      <c r="G44" s="196">
        <f t="shared" si="0"/>
        <v>2</v>
      </c>
      <c r="H44" s="188">
        <v>1</v>
      </c>
      <c r="I44" s="297"/>
      <c r="J44" s="297"/>
      <c r="K44" s="1"/>
      <c r="L44" s="1"/>
      <c r="M44" s="1"/>
      <c r="N44" s="1"/>
      <c r="O44" s="10"/>
    </row>
    <row r="45" spans="1:22" ht="31.8" customHeight="1" x14ac:dyDescent="0.3">
      <c r="A45" s="1"/>
      <c r="B45" s="48" t="s">
        <v>71</v>
      </c>
      <c r="C45" s="64" t="s">
        <v>50</v>
      </c>
      <c r="D45" s="60" t="s">
        <v>53</v>
      </c>
      <c r="E45" s="119">
        <v>3</v>
      </c>
      <c r="F45" s="98">
        <v>1</v>
      </c>
      <c r="G45" s="196">
        <f t="shared" si="0"/>
        <v>2</v>
      </c>
      <c r="H45" s="187">
        <v>1</v>
      </c>
      <c r="I45" s="297"/>
      <c r="J45" s="297"/>
      <c r="K45" s="1"/>
      <c r="L45" s="1"/>
      <c r="M45" s="1"/>
      <c r="N45" s="1"/>
      <c r="O45" s="10"/>
    </row>
    <row r="46" spans="1:22" ht="31.8" customHeight="1" x14ac:dyDescent="0.3">
      <c r="A46" s="1"/>
      <c r="B46" s="177" t="s">
        <v>71</v>
      </c>
      <c r="C46" s="178" t="s">
        <v>50</v>
      </c>
      <c r="D46" s="179" t="s">
        <v>55</v>
      </c>
      <c r="E46" s="180">
        <v>4</v>
      </c>
      <c r="F46" s="181">
        <v>1</v>
      </c>
      <c r="G46" s="195">
        <f t="shared" si="0"/>
        <v>3</v>
      </c>
      <c r="H46" s="186">
        <v>2</v>
      </c>
      <c r="I46" s="297" t="s">
        <v>238</v>
      </c>
      <c r="J46" s="297"/>
      <c r="K46" s="1"/>
      <c r="L46" s="1"/>
      <c r="M46" s="1"/>
      <c r="N46" s="1"/>
      <c r="O46" s="10"/>
    </row>
    <row r="47" spans="1:22" ht="31.8" customHeight="1" x14ac:dyDescent="0.3">
      <c r="A47" s="1"/>
      <c r="B47" s="177" t="s">
        <v>71</v>
      </c>
      <c r="C47" s="178" t="s">
        <v>57</v>
      </c>
      <c r="D47" s="198" t="s">
        <v>58</v>
      </c>
      <c r="E47" s="180">
        <v>3</v>
      </c>
      <c r="F47" s="181">
        <v>2</v>
      </c>
      <c r="G47" s="195">
        <f t="shared" si="0"/>
        <v>1</v>
      </c>
      <c r="H47" s="186">
        <v>3</v>
      </c>
      <c r="I47" s="297" t="s">
        <v>239</v>
      </c>
      <c r="J47" s="297"/>
      <c r="K47" s="1"/>
      <c r="L47" s="1"/>
      <c r="M47" s="1"/>
      <c r="N47" s="1"/>
      <c r="O47" s="10"/>
    </row>
    <row r="48" spans="1:22" ht="31.8" customHeight="1" x14ac:dyDescent="0.3">
      <c r="A48" s="1"/>
      <c r="B48" s="191" t="s">
        <v>31</v>
      </c>
      <c r="C48" s="191" t="s">
        <v>70</v>
      </c>
      <c r="D48" s="192" t="s">
        <v>60</v>
      </c>
      <c r="E48" s="121">
        <v>3</v>
      </c>
      <c r="F48" s="100">
        <v>3</v>
      </c>
      <c r="G48" s="197">
        <f t="shared" si="0"/>
        <v>0</v>
      </c>
      <c r="H48" s="188">
        <v>3</v>
      </c>
      <c r="I48" s="297"/>
      <c r="J48" s="297"/>
      <c r="K48" s="1"/>
      <c r="L48" s="1"/>
      <c r="M48" s="1"/>
      <c r="N48" s="1"/>
      <c r="O48" s="10"/>
    </row>
    <row r="49" spans="1:15" ht="31.8" customHeight="1" x14ac:dyDescent="0.3">
      <c r="A49" s="1"/>
      <c r="B49" s="191" t="s">
        <v>31</v>
      </c>
      <c r="C49" s="178" t="s">
        <v>70</v>
      </c>
      <c r="D49" s="182" t="s">
        <v>62</v>
      </c>
      <c r="E49" s="180">
        <v>3</v>
      </c>
      <c r="F49" s="181">
        <v>2</v>
      </c>
      <c r="G49" s="195">
        <f t="shared" si="0"/>
        <v>1</v>
      </c>
      <c r="H49" s="186">
        <v>3</v>
      </c>
      <c r="I49" s="297" t="s">
        <v>240</v>
      </c>
      <c r="J49" s="297"/>
      <c r="K49" s="1"/>
      <c r="L49" s="1"/>
      <c r="M49" s="1"/>
      <c r="N49" s="1"/>
      <c r="O49" s="10"/>
    </row>
    <row r="50" spans="1:15" ht="31.8" customHeight="1" x14ac:dyDescent="0.3">
      <c r="A50" s="1"/>
      <c r="B50" s="191" t="s">
        <v>31</v>
      </c>
      <c r="C50" s="191" t="s">
        <v>70</v>
      </c>
      <c r="D50" s="192" t="s">
        <v>64</v>
      </c>
      <c r="E50" s="121">
        <v>3</v>
      </c>
      <c r="F50" s="100">
        <v>3</v>
      </c>
      <c r="G50" s="197">
        <f t="shared" si="0"/>
        <v>0</v>
      </c>
      <c r="H50" s="188">
        <v>3</v>
      </c>
      <c r="I50" s="297"/>
      <c r="J50" s="297"/>
      <c r="K50" s="1"/>
      <c r="L50" s="1"/>
      <c r="M50" s="1"/>
      <c r="N50" s="1"/>
      <c r="O50" s="10"/>
    </row>
    <row r="51" spans="1:15" ht="31.8" customHeight="1" x14ac:dyDescent="0.3">
      <c r="A51" s="1"/>
      <c r="B51" s="178" t="s">
        <v>31</v>
      </c>
      <c r="C51" s="178" t="s">
        <v>70</v>
      </c>
      <c r="D51" s="182" t="s">
        <v>66</v>
      </c>
      <c r="E51" s="180">
        <v>4</v>
      </c>
      <c r="F51" s="181">
        <v>2</v>
      </c>
      <c r="G51" s="195">
        <f t="shared" si="0"/>
        <v>2</v>
      </c>
      <c r="H51" s="186">
        <v>3</v>
      </c>
      <c r="I51" s="297" t="s">
        <v>241</v>
      </c>
      <c r="J51" s="297"/>
      <c r="K51" s="1"/>
      <c r="L51" s="1"/>
      <c r="M51" s="1"/>
      <c r="N51" s="1"/>
      <c r="O51" s="10"/>
    </row>
    <row r="52" spans="1:15" ht="31.8" customHeight="1" thickBot="1" x14ac:dyDescent="0.35">
      <c r="A52" s="1"/>
      <c r="B52" s="178" t="s">
        <v>31</v>
      </c>
      <c r="C52" s="178" t="s">
        <v>70</v>
      </c>
      <c r="D52" s="182" t="s">
        <v>68</v>
      </c>
      <c r="E52" s="183">
        <v>3</v>
      </c>
      <c r="F52" s="184">
        <v>2</v>
      </c>
      <c r="G52" s="199">
        <f t="shared" si="0"/>
        <v>1</v>
      </c>
      <c r="H52" s="189">
        <v>3</v>
      </c>
      <c r="I52" s="297" t="s">
        <v>242</v>
      </c>
      <c r="J52" s="297"/>
      <c r="K52" s="1"/>
      <c r="L52" s="1"/>
      <c r="M52" s="1"/>
      <c r="N52" s="1"/>
      <c r="O52" s="10"/>
    </row>
    <row r="53" spans="1:15" ht="31.8" customHeight="1" thickBot="1" x14ac:dyDescent="0.35">
      <c r="A53" s="1"/>
      <c r="B53" s="264" t="s">
        <v>177</v>
      </c>
      <c r="C53" s="265"/>
      <c r="D53" s="265"/>
      <c r="E53" s="130">
        <f>AVERAGE(E27:E52)</f>
        <v>3.4615384615384617</v>
      </c>
      <c r="F53" s="131">
        <f>AVERAGE(F27:F52)</f>
        <v>1.7307692307692308</v>
      </c>
      <c r="G53" s="132"/>
      <c r="H53" s="190">
        <f>AVERAGE(H27:H52)</f>
        <v>2.0384615384615383</v>
      </c>
      <c r="I53" s="297"/>
      <c r="J53" s="29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V99"/>
  <sheetViews>
    <sheetView zoomScale="110" zoomScaleNormal="110" workbookViewId="0">
      <selection activeCell="F20" sqref="F20:J20"/>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188</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211</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289</v>
      </c>
      <c r="D7" s="16"/>
      <c r="E7" s="39" t="s">
        <v>20</v>
      </c>
      <c r="F7" s="168" t="s">
        <v>288</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2</v>
      </c>
      <c r="D9" s="16"/>
      <c r="E9" s="39" t="s">
        <v>122</v>
      </c>
      <c r="F9" s="74">
        <v>42005</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4" t="s">
        <v>290</v>
      </c>
      <c r="C17" s="245"/>
      <c r="D17" s="245"/>
      <c r="E17" s="246"/>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291</v>
      </c>
      <c r="G23" s="245"/>
      <c r="H23" s="245"/>
      <c r="I23" s="245"/>
      <c r="J23" s="246"/>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2</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29</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1</v>
      </c>
      <c r="G27" s="97">
        <f>($E27-$F27)</f>
        <v>3</v>
      </c>
      <c r="H27" s="98">
        <v>1</v>
      </c>
      <c r="I27" s="262"/>
      <c r="J27" s="263"/>
      <c r="K27" s="1"/>
      <c r="L27" s="1"/>
      <c r="M27" s="1"/>
      <c r="N27" s="1"/>
      <c r="O27" s="10"/>
    </row>
    <row r="28" spans="1:15" ht="31.8" customHeight="1" x14ac:dyDescent="0.3">
      <c r="A28" s="1"/>
      <c r="B28" s="48" t="s">
        <v>71</v>
      </c>
      <c r="C28" s="64" t="s">
        <v>32</v>
      </c>
      <c r="D28" s="60" t="s">
        <v>107</v>
      </c>
      <c r="E28" s="119">
        <v>3</v>
      </c>
      <c r="F28" s="98">
        <v>1</v>
      </c>
      <c r="G28" s="97">
        <f t="shared" ref="G28:G52" si="0">($E28-$F28)</f>
        <v>2</v>
      </c>
      <c r="H28" s="98">
        <v>1</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8">
        <v>1</v>
      </c>
      <c r="I29" s="250"/>
      <c r="J29" s="251"/>
      <c r="K29" s="1"/>
      <c r="L29" s="1"/>
      <c r="M29" s="1"/>
      <c r="N29" s="1"/>
      <c r="O29" s="10"/>
    </row>
    <row r="30" spans="1:15" ht="31.8" customHeight="1" x14ac:dyDescent="0.3">
      <c r="A30" s="1"/>
      <c r="B30" s="48" t="s">
        <v>71</v>
      </c>
      <c r="C30" s="64" t="s">
        <v>32</v>
      </c>
      <c r="D30" s="60" t="s">
        <v>109</v>
      </c>
      <c r="E30" s="119">
        <v>4</v>
      </c>
      <c r="F30" s="98">
        <v>1</v>
      </c>
      <c r="G30" s="97">
        <f t="shared" si="0"/>
        <v>3</v>
      </c>
      <c r="H30" s="98">
        <v>1</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8">
        <v>1</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8">
        <v>1</v>
      </c>
      <c r="I32" s="250"/>
      <c r="J32" s="251"/>
      <c r="K32" s="1"/>
      <c r="L32" s="1"/>
      <c r="M32" s="1"/>
      <c r="N32" s="1"/>
      <c r="O32" s="10"/>
    </row>
    <row r="33" spans="1:22" ht="31.8" customHeight="1" x14ac:dyDescent="0.3">
      <c r="A33" s="1"/>
      <c r="B33" s="48" t="s">
        <v>71</v>
      </c>
      <c r="C33" s="64" t="s">
        <v>33</v>
      </c>
      <c r="D33" s="60" t="s">
        <v>112</v>
      </c>
      <c r="E33" s="119">
        <v>3</v>
      </c>
      <c r="F33" s="98">
        <v>1</v>
      </c>
      <c r="G33" s="97">
        <f t="shared" si="0"/>
        <v>2</v>
      </c>
      <c r="H33" s="98">
        <v>1</v>
      </c>
      <c r="I33" s="250"/>
      <c r="J33" s="251"/>
      <c r="K33" s="1"/>
      <c r="L33" s="1"/>
      <c r="M33" s="1"/>
      <c r="N33" s="1"/>
      <c r="O33" s="10"/>
    </row>
    <row r="34" spans="1:22" ht="31.8" customHeight="1" x14ac:dyDescent="0.3">
      <c r="A34" s="1"/>
      <c r="B34" s="48" t="s">
        <v>71</v>
      </c>
      <c r="C34" s="64" t="s">
        <v>33</v>
      </c>
      <c r="D34" s="60" t="s">
        <v>113</v>
      </c>
      <c r="E34" s="119">
        <v>4</v>
      </c>
      <c r="F34" s="98">
        <v>1</v>
      </c>
      <c r="G34" s="97">
        <f t="shared" si="0"/>
        <v>3</v>
      </c>
      <c r="H34" s="98">
        <v>1</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8">
        <v>1</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8">
        <v>1</v>
      </c>
      <c r="I36" s="250"/>
      <c r="J36" s="251"/>
      <c r="K36" s="1"/>
      <c r="L36" s="1"/>
      <c r="M36" s="1"/>
      <c r="N36" s="1"/>
      <c r="O36" s="10"/>
    </row>
    <row r="37" spans="1:22" ht="31.8" customHeight="1" x14ac:dyDescent="0.3">
      <c r="A37" s="1"/>
      <c r="B37" s="177" t="s">
        <v>71</v>
      </c>
      <c r="C37" s="178" t="s">
        <v>39</v>
      </c>
      <c r="D37" s="179" t="s">
        <v>116</v>
      </c>
      <c r="E37" s="204">
        <v>4</v>
      </c>
      <c r="F37" s="181">
        <v>2</v>
      </c>
      <c r="G37" s="205">
        <f t="shared" si="0"/>
        <v>2</v>
      </c>
      <c r="H37" s="181">
        <v>2</v>
      </c>
      <c r="I37" s="250"/>
      <c r="J37" s="251"/>
      <c r="K37" s="1"/>
      <c r="L37" s="1"/>
      <c r="M37" s="1"/>
      <c r="N37" s="1"/>
      <c r="O37" s="10"/>
    </row>
    <row r="38" spans="1:22" ht="31.8" customHeight="1" x14ac:dyDescent="0.3">
      <c r="A38" s="1"/>
      <c r="B38" s="177" t="s">
        <v>71</v>
      </c>
      <c r="C38" s="178" t="s">
        <v>39</v>
      </c>
      <c r="D38" s="179" t="s">
        <v>117</v>
      </c>
      <c r="E38" s="204">
        <v>4</v>
      </c>
      <c r="F38" s="181">
        <v>3</v>
      </c>
      <c r="G38" s="205">
        <f t="shared" si="0"/>
        <v>1</v>
      </c>
      <c r="H38" s="181">
        <v>3</v>
      </c>
      <c r="I38" s="250"/>
      <c r="J38" s="251"/>
      <c r="K38" s="1"/>
      <c r="L38" s="1"/>
      <c r="M38" s="1"/>
      <c r="N38" s="1"/>
      <c r="O38" s="10"/>
    </row>
    <row r="39" spans="1:22" ht="31.8" customHeight="1" x14ac:dyDescent="0.3">
      <c r="A39" s="1"/>
      <c r="B39" s="177" t="s">
        <v>71</v>
      </c>
      <c r="C39" s="178" t="s">
        <v>42</v>
      </c>
      <c r="D39" s="179" t="s">
        <v>118</v>
      </c>
      <c r="E39" s="180">
        <v>3</v>
      </c>
      <c r="F39" s="181">
        <v>1</v>
      </c>
      <c r="G39" s="205">
        <f t="shared" si="0"/>
        <v>2</v>
      </c>
      <c r="H39" s="181">
        <v>1</v>
      </c>
      <c r="I39" s="250"/>
      <c r="J39" s="251"/>
      <c r="K39" s="1"/>
      <c r="L39" s="1"/>
      <c r="M39" s="1"/>
      <c r="N39" s="1"/>
      <c r="O39" s="10"/>
    </row>
    <row r="40" spans="1:22" ht="31.8" customHeight="1" x14ac:dyDescent="0.3">
      <c r="A40" s="1"/>
      <c r="B40" s="177" t="s">
        <v>71</v>
      </c>
      <c r="C40" s="178" t="s">
        <v>42</v>
      </c>
      <c r="D40" s="179" t="s">
        <v>119</v>
      </c>
      <c r="E40" s="180">
        <v>3</v>
      </c>
      <c r="F40" s="181">
        <v>1</v>
      </c>
      <c r="G40" s="205">
        <f t="shared" si="0"/>
        <v>2</v>
      </c>
      <c r="H40" s="181">
        <v>1</v>
      </c>
      <c r="I40" s="250"/>
      <c r="J40" s="251"/>
      <c r="K40" s="1"/>
      <c r="L40" s="1"/>
      <c r="M40" s="1"/>
      <c r="N40" s="1"/>
      <c r="O40" s="10"/>
    </row>
    <row r="41" spans="1:22" s="96" customFormat="1" ht="31.8" customHeight="1" x14ac:dyDescent="0.3">
      <c r="A41" s="1"/>
      <c r="B41" s="177" t="s">
        <v>71</v>
      </c>
      <c r="C41" s="178" t="s">
        <v>45</v>
      </c>
      <c r="D41" s="179" t="s">
        <v>120</v>
      </c>
      <c r="E41" s="180">
        <v>4</v>
      </c>
      <c r="F41" s="181">
        <v>3</v>
      </c>
      <c r="G41" s="205">
        <f t="shared" si="0"/>
        <v>1</v>
      </c>
      <c r="H41" s="181">
        <v>3</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4</v>
      </c>
      <c r="F42" s="98">
        <v>1</v>
      </c>
      <c r="G42" s="97">
        <f>($E42-$F42)</f>
        <v>3</v>
      </c>
      <c r="H42" s="98">
        <v>1</v>
      </c>
      <c r="I42" s="250"/>
      <c r="J42" s="251"/>
      <c r="K42" s="1"/>
      <c r="L42" s="1"/>
      <c r="M42" s="1"/>
      <c r="N42" s="1"/>
      <c r="O42" s="10"/>
    </row>
    <row r="43" spans="1:22" ht="31.8" customHeight="1" x14ac:dyDescent="0.3">
      <c r="A43" s="1"/>
      <c r="B43" s="48" t="s">
        <v>71</v>
      </c>
      <c r="C43" s="64" t="s">
        <v>47</v>
      </c>
      <c r="D43" s="60" t="s">
        <v>121</v>
      </c>
      <c r="E43" s="119">
        <v>4</v>
      </c>
      <c r="F43" s="98">
        <v>1</v>
      </c>
      <c r="G43" s="97">
        <f t="shared" si="0"/>
        <v>3</v>
      </c>
      <c r="H43" s="98">
        <v>1</v>
      </c>
      <c r="I43" s="250"/>
      <c r="J43" s="251"/>
      <c r="K43" s="1"/>
      <c r="L43" s="1"/>
      <c r="M43" s="1"/>
      <c r="N43" s="1"/>
      <c r="O43" s="10"/>
    </row>
    <row r="44" spans="1:22" ht="31.8" customHeight="1" x14ac:dyDescent="0.3">
      <c r="A44" s="1"/>
      <c r="B44" s="48" t="s">
        <v>71</v>
      </c>
      <c r="C44" s="64" t="s">
        <v>50</v>
      </c>
      <c r="D44" s="60" t="s">
        <v>51</v>
      </c>
      <c r="E44" s="119">
        <v>3</v>
      </c>
      <c r="F44" s="100">
        <v>1</v>
      </c>
      <c r="G44" s="97">
        <f t="shared" si="0"/>
        <v>2</v>
      </c>
      <c r="H44" s="100">
        <v>1</v>
      </c>
      <c r="I44" s="250"/>
      <c r="J44" s="251"/>
      <c r="K44" s="1"/>
      <c r="L44" s="1"/>
      <c r="M44" s="1"/>
      <c r="N44" s="1"/>
      <c r="O44" s="10"/>
    </row>
    <row r="45" spans="1:22" ht="31.8" customHeight="1" x14ac:dyDescent="0.3">
      <c r="A45" s="1"/>
      <c r="B45" s="48" t="s">
        <v>71</v>
      </c>
      <c r="C45" s="64" t="s">
        <v>50</v>
      </c>
      <c r="D45" s="60" t="s">
        <v>53</v>
      </c>
      <c r="E45" s="119">
        <v>3</v>
      </c>
      <c r="F45" s="98">
        <v>1</v>
      </c>
      <c r="G45" s="97">
        <f t="shared" si="0"/>
        <v>2</v>
      </c>
      <c r="H45" s="98">
        <v>1</v>
      </c>
      <c r="I45" s="250"/>
      <c r="J45" s="251"/>
      <c r="K45" s="1"/>
      <c r="L45" s="1"/>
      <c r="M45" s="1"/>
      <c r="N45" s="1"/>
      <c r="O45" s="10"/>
    </row>
    <row r="46" spans="1:22" ht="31.8" customHeight="1" x14ac:dyDescent="0.3">
      <c r="A46" s="1"/>
      <c r="B46" s="48" t="s">
        <v>71</v>
      </c>
      <c r="C46" s="64" t="s">
        <v>50</v>
      </c>
      <c r="D46" s="60" t="s">
        <v>55</v>
      </c>
      <c r="E46" s="119">
        <v>4</v>
      </c>
      <c r="F46" s="98">
        <v>1</v>
      </c>
      <c r="G46" s="97">
        <f t="shared" si="0"/>
        <v>3</v>
      </c>
      <c r="H46" s="98">
        <v>1</v>
      </c>
      <c r="I46" s="250"/>
      <c r="J46" s="251"/>
      <c r="K46" s="1"/>
      <c r="L46" s="1"/>
      <c r="M46" s="1"/>
      <c r="N46" s="1"/>
      <c r="O46" s="10"/>
    </row>
    <row r="47" spans="1:22" ht="31.8" customHeight="1" x14ac:dyDescent="0.3">
      <c r="A47" s="1"/>
      <c r="B47" s="177" t="s">
        <v>71</v>
      </c>
      <c r="C47" s="178" t="s">
        <v>57</v>
      </c>
      <c r="D47" s="198" t="s">
        <v>58</v>
      </c>
      <c r="E47" s="180">
        <v>3</v>
      </c>
      <c r="F47" s="181">
        <v>2</v>
      </c>
      <c r="G47" s="205">
        <f t="shared" si="0"/>
        <v>1</v>
      </c>
      <c r="H47" s="181">
        <v>2</v>
      </c>
      <c r="I47" s="250"/>
      <c r="J47" s="251"/>
      <c r="K47" s="1"/>
      <c r="L47" s="1"/>
      <c r="M47" s="1"/>
      <c r="N47" s="1"/>
      <c r="O47" s="10"/>
    </row>
    <row r="48" spans="1:22" ht="31.8" customHeight="1" x14ac:dyDescent="0.3">
      <c r="A48" s="1"/>
      <c r="B48" s="178" t="s">
        <v>31</v>
      </c>
      <c r="C48" s="178" t="s">
        <v>70</v>
      </c>
      <c r="D48" s="182" t="s">
        <v>60</v>
      </c>
      <c r="E48" s="180">
        <v>3</v>
      </c>
      <c r="F48" s="181">
        <v>2</v>
      </c>
      <c r="G48" s="205">
        <f t="shared" si="0"/>
        <v>1</v>
      </c>
      <c r="H48" s="181">
        <v>2</v>
      </c>
      <c r="I48" s="250"/>
      <c r="J48" s="251"/>
      <c r="K48" s="1"/>
      <c r="L48" s="1"/>
      <c r="M48" s="1"/>
      <c r="N48" s="1"/>
      <c r="O48" s="10"/>
    </row>
    <row r="49" spans="1:15" ht="31.8" customHeight="1" x14ac:dyDescent="0.3">
      <c r="A49" s="1"/>
      <c r="B49" s="178" t="s">
        <v>31</v>
      </c>
      <c r="C49" s="178" t="s">
        <v>70</v>
      </c>
      <c r="D49" s="182" t="s">
        <v>62</v>
      </c>
      <c r="E49" s="180">
        <v>3</v>
      </c>
      <c r="F49" s="181">
        <v>2</v>
      </c>
      <c r="G49" s="205">
        <f t="shared" si="0"/>
        <v>1</v>
      </c>
      <c r="H49" s="181">
        <v>2</v>
      </c>
      <c r="I49" s="250"/>
      <c r="J49" s="251"/>
      <c r="K49" s="1"/>
      <c r="L49" s="1"/>
      <c r="M49" s="1"/>
      <c r="N49" s="1"/>
      <c r="O49" s="10"/>
    </row>
    <row r="50" spans="1:15" ht="31.8" customHeight="1" x14ac:dyDescent="0.3">
      <c r="A50" s="1"/>
      <c r="B50" s="178" t="s">
        <v>31</v>
      </c>
      <c r="C50" s="178" t="s">
        <v>70</v>
      </c>
      <c r="D50" s="182" t="s">
        <v>64</v>
      </c>
      <c r="E50" s="180">
        <v>3</v>
      </c>
      <c r="F50" s="181">
        <v>2</v>
      </c>
      <c r="G50" s="205">
        <f t="shared" si="0"/>
        <v>1</v>
      </c>
      <c r="H50" s="181">
        <v>2</v>
      </c>
      <c r="I50" s="250"/>
      <c r="J50" s="251"/>
      <c r="K50" s="1"/>
      <c r="L50" s="1"/>
      <c r="M50" s="1"/>
      <c r="N50" s="1"/>
      <c r="O50" s="10"/>
    </row>
    <row r="51" spans="1:15" ht="31.8" customHeight="1" x14ac:dyDescent="0.3">
      <c r="A51" s="1"/>
      <c r="B51" s="178" t="s">
        <v>31</v>
      </c>
      <c r="C51" s="178" t="s">
        <v>70</v>
      </c>
      <c r="D51" s="182" t="s">
        <v>66</v>
      </c>
      <c r="E51" s="180">
        <v>4</v>
      </c>
      <c r="F51" s="181">
        <v>3</v>
      </c>
      <c r="G51" s="205">
        <f t="shared" si="0"/>
        <v>1</v>
      </c>
      <c r="H51" s="181">
        <v>3</v>
      </c>
      <c r="I51" s="250"/>
      <c r="J51" s="251"/>
      <c r="K51" s="1"/>
      <c r="L51" s="1"/>
      <c r="M51" s="1"/>
      <c r="N51" s="1"/>
      <c r="O51" s="10"/>
    </row>
    <row r="52" spans="1:15" ht="31.8" customHeight="1" thickBot="1" x14ac:dyDescent="0.35">
      <c r="A52" s="1"/>
      <c r="B52" s="178" t="s">
        <v>31</v>
      </c>
      <c r="C52" s="178" t="s">
        <v>70</v>
      </c>
      <c r="D52" s="182" t="s">
        <v>68</v>
      </c>
      <c r="E52" s="183">
        <v>3</v>
      </c>
      <c r="F52" s="184">
        <v>2</v>
      </c>
      <c r="G52" s="207">
        <f t="shared" si="0"/>
        <v>1</v>
      </c>
      <c r="H52" s="184">
        <v>2</v>
      </c>
      <c r="I52" s="268"/>
      <c r="J52" s="269"/>
      <c r="K52" s="1"/>
      <c r="L52" s="1"/>
      <c r="M52" s="1"/>
      <c r="N52" s="1"/>
      <c r="O52" s="10"/>
    </row>
    <row r="53" spans="1:15" ht="31.8" customHeight="1" thickBot="1" x14ac:dyDescent="0.35">
      <c r="A53" s="1"/>
      <c r="B53" s="264" t="s">
        <v>177</v>
      </c>
      <c r="C53" s="265"/>
      <c r="D53" s="265"/>
      <c r="E53" s="130">
        <f>AVERAGE(E27:E52)</f>
        <v>3.4615384615384617</v>
      </c>
      <c r="F53" s="131">
        <f>AVERAGE(F27:F52)</f>
        <v>1.4615384615384615</v>
      </c>
      <c r="G53" s="132"/>
      <c r="H53" s="130">
        <f>AVERAGE(H27:H52)</f>
        <v>1.4615384615384615</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H27:H52">
      <formula1>"1,2,3,4,5"</formula1>
    </dataValidation>
  </dataValidations>
  <pageMargins left="0.7" right="0.7" top="0.75" bottom="0.75" header="0.3" footer="0.3"/>
  <pageSetup orientation="portrait" horizontalDpi="200" verticalDpi="200"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9"/>
  <sheetViews>
    <sheetView topLeftCell="A31" zoomScale="110" zoomScaleNormal="110" workbookViewId="0">
      <selection activeCell="F31" sqref="F31"/>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187</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210</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270</v>
      </c>
      <c r="D7" s="16"/>
      <c r="E7" s="39" t="s">
        <v>20</v>
      </c>
      <c r="F7" s="168" t="s">
        <v>303</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2</v>
      </c>
      <c r="D9" s="16"/>
      <c r="E9" s="39" t="s">
        <v>122</v>
      </c>
      <c r="F9" s="74" t="s">
        <v>236</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95" t="s">
        <v>301</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96" t="s">
        <v>302</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98" t="s">
        <v>300</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2</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29</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1</v>
      </c>
      <c r="G27" s="97">
        <f>($E27-$F27)</f>
        <v>3</v>
      </c>
      <c r="H27" s="99">
        <v>1</v>
      </c>
      <c r="I27" s="262"/>
      <c r="J27" s="263"/>
      <c r="K27" s="1"/>
      <c r="L27" s="1"/>
      <c r="M27" s="1"/>
      <c r="N27" s="1"/>
      <c r="O27" s="10"/>
    </row>
    <row r="28" spans="1:15" ht="31.8" customHeight="1" x14ac:dyDescent="0.3">
      <c r="A28" s="1"/>
      <c r="B28" s="48" t="s">
        <v>71</v>
      </c>
      <c r="C28" s="64" t="s">
        <v>32</v>
      </c>
      <c r="D28" s="60" t="s">
        <v>107</v>
      </c>
      <c r="E28" s="119">
        <v>3</v>
      </c>
      <c r="F28" s="98">
        <v>1</v>
      </c>
      <c r="G28" s="97">
        <f t="shared" ref="G28:G52" si="0">($E28-$F28)</f>
        <v>2</v>
      </c>
      <c r="H28" s="99">
        <v>1</v>
      </c>
      <c r="I28" s="250"/>
      <c r="J28" s="251"/>
      <c r="K28" s="1"/>
      <c r="L28" s="1"/>
      <c r="M28" s="1"/>
      <c r="N28" s="1"/>
      <c r="O28" s="10"/>
    </row>
    <row r="29" spans="1:15" ht="31.8" customHeight="1" x14ac:dyDescent="0.3">
      <c r="A29" s="1"/>
      <c r="B29" s="48" t="s">
        <v>71</v>
      </c>
      <c r="C29" s="64" t="s">
        <v>32</v>
      </c>
      <c r="D29" s="60" t="s">
        <v>108</v>
      </c>
      <c r="E29" s="119">
        <v>3</v>
      </c>
      <c r="F29" s="98">
        <v>1</v>
      </c>
      <c r="G29" s="97">
        <f t="shared" si="0"/>
        <v>2</v>
      </c>
      <c r="H29" s="99">
        <v>1</v>
      </c>
      <c r="I29" s="250"/>
      <c r="J29" s="251"/>
      <c r="K29" s="1"/>
      <c r="L29" s="1"/>
      <c r="M29" s="1"/>
      <c r="N29" s="1"/>
      <c r="O29" s="10"/>
    </row>
    <row r="30" spans="1:15" ht="31.8" customHeight="1" x14ac:dyDescent="0.3">
      <c r="A30" s="1"/>
      <c r="B30" s="48" t="s">
        <v>71</v>
      </c>
      <c r="C30" s="64" t="s">
        <v>32</v>
      </c>
      <c r="D30" s="60" t="s">
        <v>109</v>
      </c>
      <c r="E30" s="119">
        <v>4</v>
      </c>
      <c r="F30" s="98">
        <v>1</v>
      </c>
      <c r="G30" s="97">
        <f t="shared" si="0"/>
        <v>3</v>
      </c>
      <c r="H30" s="99">
        <v>1</v>
      </c>
      <c r="I30" s="250"/>
      <c r="J30" s="251"/>
      <c r="K30" s="1"/>
      <c r="L30" s="1"/>
      <c r="M30" s="1"/>
      <c r="N30" s="1"/>
      <c r="O30" s="10"/>
    </row>
    <row r="31" spans="1:15" ht="31.8" customHeight="1" x14ac:dyDescent="0.3">
      <c r="A31" s="1"/>
      <c r="B31" s="48" t="s">
        <v>71</v>
      </c>
      <c r="C31" s="64" t="s">
        <v>33</v>
      </c>
      <c r="D31" s="60" t="s">
        <v>110</v>
      </c>
      <c r="E31" s="119">
        <v>3</v>
      </c>
      <c r="F31" s="98">
        <v>3</v>
      </c>
      <c r="G31" s="97">
        <f t="shared" si="0"/>
        <v>0</v>
      </c>
      <c r="H31" s="99">
        <v>3</v>
      </c>
      <c r="I31" s="250"/>
      <c r="J31" s="251"/>
      <c r="K31" s="1"/>
      <c r="L31" s="1"/>
      <c r="M31" s="1"/>
      <c r="N31" s="1"/>
      <c r="O31" s="10"/>
    </row>
    <row r="32" spans="1:15" ht="31.8" customHeight="1" x14ac:dyDescent="0.3">
      <c r="A32" s="1"/>
      <c r="B32" s="48" t="s">
        <v>71</v>
      </c>
      <c r="C32" s="64" t="s">
        <v>33</v>
      </c>
      <c r="D32" s="60" t="s">
        <v>111</v>
      </c>
      <c r="E32" s="119">
        <v>3</v>
      </c>
      <c r="F32" s="98">
        <v>3</v>
      </c>
      <c r="G32" s="97">
        <f t="shared" si="0"/>
        <v>0</v>
      </c>
      <c r="H32" s="99">
        <v>3</v>
      </c>
      <c r="I32" s="250"/>
      <c r="J32" s="251"/>
      <c r="K32" s="1"/>
      <c r="L32" s="1"/>
      <c r="M32" s="1"/>
      <c r="N32" s="1"/>
      <c r="O32" s="10"/>
    </row>
    <row r="33" spans="1:22" ht="31.8" customHeight="1" x14ac:dyDescent="0.3">
      <c r="A33" s="1"/>
      <c r="B33" s="48" t="s">
        <v>71</v>
      </c>
      <c r="C33" s="64" t="s">
        <v>33</v>
      </c>
      <c r="D33" s="60" t="s">
        <v>112</v>
      </c>
      <c r="E33" s="119">
        <v>3</v>
      </c>
      <c r="F33" s="98">
        <v>2</v>
      </c>
      <c r="G33" s="97">
        <f t="shared" si="0"/>
        <v>1</v>
      </c>
      <c r="H33" s="99">
        <v>2</v>
      </c>
      <c r="I33" s="250"/>
      <c r="J33" s="251"/>
      <c r="K33" s="1"/>
      <c r="L33" s="1"/>
      <c r="M33" s="1"/>
      <c r="N33" s="1"/>
      <c r="O33" s="10"/>
    </row>
    <row r="34" spans="1:22" ht="31.8" customHeight="1" x14ac:dyDescent="0.3">
      <c r="A34" s="1"/>
      <c r="B34" s="48" t="s">
        <v>71</v>
      </c>
      <c r="C34" s="64" t="s">
        <v>33</v>
      </c>
      <c r="D34" s="60" t="s">
        <v>113</v>
      </c>
      <c r="E34" s="119">
        <v>4</v>
      </c>
      <c r="F34" s="98">
        <v>1</v>
      </c>
      <c r="G34" s="97">
        <f t="shared" si="0"/>
        <v>3</v>
      </c>
      <c r="H34" s="99">
        <v>1</v>
      </c>
      <c r="I34" s="250"/>
      <c r="J34" s="251"/>
      <c r="K34" s="1"/>
      <c r="L34" s="1"/>
      <c r="M34" s="1"/>
      <c r="N34" s="1"/>
      <c r="O34" s="10"/>
    </row>
    <row r="35" spans="1:22" ht="31.8" customHeight="1" x14ac:dyDescent="0.3">
      <c r="A35" s="1"/>
      <c r="B35" s="48" t="s">
        <v>71</v>
      </c>
      <c r="C35" s="64" t="s">
        <v>38</v>
      </c>
      <c r="D35" s="60" t="s">
        <v>114</v>
      </c>
      <c r="E35" s="119">
        <v>4</v>
      </c>
      <c r="F35" s="98">
        <v>5</v>
      </c>
      <c r="G35" s="97">
        <f t="shared" si="0"/>
        <v>-1</v>
      </c>
      <c r="H35" s="99">
        <v>5</v>
      </c>
      <c r="I35" s="250"/>
      <c r="J35" s="251"/>
      <c r="K35" s="1"/>
      <c r="L35" s="1"/>
      <c r="M35" s="1"/>
      <c r="N35" s="1"/>
      <c r="O35" s="10"/>
    </row>
    <row r="36" spans="1:22" ht="31.8" customHeight="1" x14ac:dyDescent="0.3">
      <c r="A36" s="1"/>
      <c r="B36" s="48" t="s">
        <v>71</v>
      </c>
      <c r="C36" s="64" t="s">
        <v>38</v>
      </c>
      <c r="D36" s="60" t="s">
        <v>115</v>
      </c>
      <c r="E36" s="119">
        <v>4</v>
      </c>
      <c r="F36" s="98">
        <v>5</v>
      </c>
      <c r="G36" s="97">
        <f t="shared" si="0"/>
        <v>-1</v>
      </c>
      <c r="H36" s="99">
        <v>5</v>
      </c>
      <c r="I36" s="250"/>
      <c r="J36" s="251"/>
      <c r="K36" s="1"/>
      <c r="L36" s="1"/>
      <c r="M36" s="1"/>
      <c r="N36" s="1"/>
      <c r="O36" s="10"/>
    </row>
    <row r="37" spans="1:22" ht="31.8" customHeight="1" x14ac:dyDescent="0.3">
      <c r="A37" s="1"/>
      <c r="B37" s="48" t="s">
        <v>71</v>
      </c>
      <c r="C37" s="64" t="s">
        <v>39</v>
      </c>
      <c r="D37" s="60" t="s">
        <v>116</v>
      </c>
      <c r="E37" s="120">
        <v>4</v>
      </c>
      <c r="F37" s="98">
        <v>5</v>
      </c>
      <c r="G37" s="97">
        <f t="shared" si="0"/>
        <v>-1</v>
      </c>
      <c r="H37" s="99">
        <v>5</v>
      </c>
      <c r="I37" s="250"/>
      <c r="J37" s="251"/>
      <c r="K37" s="1"/>
      <c r="L37" s="1"/>
      <c r="M37" s="1"/>
      <c r="N37" s="1"/>
      <c r="O37" s="10"/>
    </row>
    <row r="38" spans="1:22" ht="31.8" customHeight="1" x14ac:dyDescent="0.3">
      <c r="A38" s="1"/>
      <c r="B38" s="48" t="s">
        <v>71</v>
      </c>
      <c r="C38" s="64" t="s">
        <v>39</v>
      </c>
      <c r="D38" s="60" t="s">
        <v>117</v>
      </c>
      <c r="E38" s="120">
        <v>4</v>
      </c>
      <c r="F38" s="98">
        <v>5</v>
      </c>
      <c r="G38" s="97">
        <f t="shared" si="0"/>
        <v>-1</v>
      </c>
      <c r="H38" s="99">
        <v>5</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9">
        <v>1</v>
      </c>
      <c r="I39" s="250"/>
      <c r="J39" s="251"/>
      <c r="K39" s="1"/>
      <c r="L39" s="1"/>
      <c r="M39" s="1"/>
      <c r="N39" s="1"/>
      <c r="O39" s="10"/>
    </row>
    <row r="40" spans="1:22" ht="31.8" customHeight="1" x14ac:dyDescent="0.3">
      <c r="A40" s="1"/>
      <c r="B40" s="48" t="s">
        <v>71</v>
      </c>
      <c r="C40" s="64" t="s">
        <v>42</v>
      </c>
      <c r="D40" s="60" t="s">
        <v>119</v>
      </c>
      <c r="E40" s="119">
        <v>3</v>
      </c>
      <c r="F40" s="98">
        <v>1</v>
      </c>
      <c r="G40" s="97">
        <f t="shared" si="0"/>
        <v>2</v>
      </c>
      <c r="H40" s="99">
        <v>1</v>
      </c>
      <c r="I40" s="250"/>
      <c r="J40" s="251"/>
      <c r="K40" s="1"/>
      <c r="L40" s="1"/>
      <c r="M40" s="1"/>
      <c r="N40" s="1"/>
      <c r="O40" s="10"/>
    </row>
    <row r="41" spans="1:22" s="96" customFormat="1" ht="31.8" customHeight="1" x14ac:dyDescent="0.3">
      <c r="A41" s="1"/>
      <c r="B41" s="48" t="s">
        <v>71</v>
      </c>
      <c r="C41" s="64" t="s">
        <v>45</v>
      </c>
      <c r="D41" s="60" t="s">
        <v>120</v>
      </c>
      <c r="E41" s="121">
        <v>4</v>
      </c>
      <c r="F41" s="100">
        <v>5</v>
      </c>
      <c r="G41" s="97">
        <f t="shared" si="0"/>
        <v>-1</v>
      </c>
      <c r="H41" s="99">
        <v>5</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4</v>
      </c>
      <c r="F42" s="98">
        <v>1</v>
      </c>
      <c r="G42" s="97">
        <f>($E42-$F42)</f>
        <v>3</v>
      </c>
      <c r="H42" s="99">
        <v>1</v>
      </c>
      <c r="I42" s="250"/>
      <c r="J42" s="251"/>
      <c r="K42" s="1"/>
      <c r="L42" s="1"/>
      <c r="M42" s="1"/>
      <c r="N42" s="1"/>
      <c r="O42" s="10"/>
    </row>
    <row r="43" spans="1:22" ht="31.8" customHeight="1" x14ac:dyDescent="0.3">
      <c r="A43" s="1"/>
      <c r="B43" s="48" t="s">
        <v>71</v>
      </c>
      <c r="C43" s="64" t="s">
        <v>47</v>
      </c>
      <c r="D43" s="60" t="s">
        <v>121</v>
      </c>
      <c r="E43" s="119">
        <v>4</v>
      </c>
      <c r="F43" s="98">
        <v>1</v>
      </c>
      <c r="G43" s="97">
        <f t="shared" si="0"/>
        <v>3</v>
      </c>
      <c r="H43" s="99">
        <v>1</v>
      </c>
      <c r="I43" s="250"/>
      <c r="J43" s="251"/>
      <c r="K43" s="1"/>
      <c r="L43" s="1"/>
      <c r="M43" s="1"/>
      <c r="N43" s="1"/>
      <c r="O43" s="10"/>
    </row>
    <row r="44" spans="1:22" ht="31.8" customHeight="1" x14ac:dyDescent="0.3">
      <c r="A44" s="1"/>
      <c r="B44" s="48" t="s">
        <v>71</v>
      </c>
      <c r="C44" s="64" t="s">
        <v>50</v>
      </c>
      <c r="D44" s="60" t="s">
        <v>51</v>
      </c>
      <c r="E44" s="119">
        <v>3</v>
      </c>
      <c r="F44" s="100">
        <v>1</v>
      </c>
      <c r="G44" s="97">
        <f t="shared" si="0"/>
        <v>2</v>
      </c>
      <c r="H44" s="99">
        <v>1</v>
      </c>
      <c r="I44" s="250"/>
      <c r="J44" s="251"/>
      <c r="K44" s="1"/>
      <c r="L44" s="1"/>
      <c r="M44" s="1"/>
      <c r="N44" s="1"/>
      <c r="O44" s="10"/>
    </row>
    <row r="45" spans="1:22" ht="31.8" customHeight="1" x14ac:dyDescent="0.3">
      <c r="A45" s="1"/>
      <c r="B45" s="48" t="s">
        <v>71</v>
      </c>
      <c r="C45" s="64" t="s">
        <v>50</v>
      </c>
      <c r="D45" s="60" t="s">
        <v>53</v>
      </c>
      <c r="E45" s="119">
        <v>3</v>
      </c>
      <c r="F45" s="98">
        <v>1</v>
      </c>
      <c r="G45" s="97">
        <f t="shared" si="0"/>
        <v>2</v>
      </c>
      <c r="H45" s="99">
        <v>1</v>
      </c>
      <c r="I45" s="250"/>
      <c r="J45" s="251"/>
      <c r="K45" s="1"/>
      <c r="L45" s="1"/>
      <c r="M45" s="1"/>
      <c r="N45" s="1"/>
      <c r="O45" s="10"/>
    </row>
    <row r="46" spans="1:22" ht="31.8" customHeight="1" x14ac:dyDescent="0.3">
      <c r="A46" s="1"/>
      <c r="B46" s="48" t="s">
        <v>71</v>
      </c>
      <c r="C46" s="64" t="s">
        <v>50</v>
      </c>
      <c r="D46" s="60" t="s">
        <v>55</v>
      </c>
      <c r="E46" s="119">
        <v>4</v>
      </c>
      <c r="F46" s="98">
        <v>2</v>
      </c>
      <c r="G46" s="97">
        <f t="shared" si="0"/>
        <v>2</v>
      </c>
      <c r="H46" s="99">
        <v>2</v>
      </c>
      <c r="I46" s="250"/>
      <c r="J46" s="251"/>
      <c r="K46" s="1"/>
      <c r="L46" s="1"/>
      <c r="M46" s="1"/>
      <c r="N46" s="1"/>
      <c r="O46" s="10"/>
    </row>
    <row r="47" spans="1:22" ht="31.8" customHeight="1" x14ac:dyDescent="0.3">
      <c r="A47" s="1"/>
      <c r="B47" s="48" t="s">
        <v>71</v>
      </c>
      <c r="C47" s="64" t="s">
        <v>57</v>
      </c>
      <c r="D47" s="62" t="s">
        <v>58</v>
      </c>
      <c r="E47" s="119">
        <v>3</v>
      </c>
      <c r="F47" s="100">
        <v>4</v>
      </c>
      <c r="G47" s="97">
        <f t="shared" si="0"/>
        <v>-1</v>
      </c>
      <c r="H47" s="99">
        <v>4</v>
      </c>
      <c r="I47" s="250"/>
      <c r="J47" s="251"/>
      <c r="K47" s="1"/>
      <c r="L47" s="1"/>
      <c r="M47" s="1"/>
      <c r="N47" s="1"/>
      <c r="O47" s="10"/>
    </row>
    <row r="48" spans="1:22" ht="31.8" customHeight="1" x14ac:dyDescent="0.3">
      <c r="A48" s="1"/>
      <c r="B48" s="64" t="s">
        <v>31</v>
      </c>
      <c r="C48" s="64" t="s">
        <v>70</v>
      </c>
      <c r="D48" s="55" t="s">
        <v>60</v>
      </c>
      <c r="E48" s="119">
        <v>3</v>
      </c>
      <c r="F48" s="98">
        <v>4</v>
      </c>
      <c r="G48" s="97">
        <f t="shared" si="0"/>
        <v>-1</v>
      </c>
      <c r="H48" s="99">
        <v>4</v>
      </c>
      <c r="I48" s="250"/>
      <c r="J48" s="251"/>
      <c r="K48" s="1"/>
      <c r="L48" s="1"/>
      <c r="M48" s="1"/>
      <c r="N48" s="1"/>
      <c r="O48" s="10"/>
    </row>
    <row r="49" spans="1:15" ht="31.8" customHeight="1" x14ac:dyDescent="0.3">
      <c r="A49" s="1"/>
      <c r="B49" s="64" t="s">
        <v>31</v>
      </c>
      <c r="C49" s="64" t="s">
        <v>70</v>
      </c>
      <c r="D49" s="55" t="s">
        <v>62</v>
      </c>
      <c r="E49" s="119">
        <v>3</v>
      </c>
      <c r="F49" s="98">
        <v>4</v>
      </c>
      <c r="G49" s="97">
        <f t="shared" si="0"/>
        <v>-1</v>
      </c>
      <c r="H49" s="99">
        <v>4</v>
      </c>
      <c r="I49" s="250"/>
      <c r="J49" s="251"/>
      <c r="K49" s="1"/>
      <c r="L49" s="1"/>
      <c r="M49" s="1"/>
      <c r="N49" s="1"/>
      <c r="O49" s="10"/>
    </row>
    <row r="50" spans="1:15" ht="31.8" customHeight="1" x14ac:dyDescent="0.3">
      <c r="A50" s="1"/>
      <c r="B50" s="64" t="s">
        <v>31</v>
      </c>
      <c r="C50" s="64" t="s">
        <v>70</v>
      </c>
      <c r="D50" s="55" t="s">
        <v>64</v>
      </c>
      <c r="E50" s="119">
        <v>3</v>
      </c>
      <c r="F50" s="98">
        <v>4</v>
      </c>
      <c r="G50" s="97">
        <f t="shared" si="0"/>
        <v>-1</v>
      </c>
      <c r="H50" s="99">
        <v>4</v>
      </c>
      <c r="I50" s="250"/>
      <c r="J50" s="251"/>
      <c r="K50" s="1"/>
      <c r="L50" s="1"/>
      <c r="M50" s="1"/>
      <c r="N50" s="1"/>
      <c r="O50" s="10"/>
    </row>
    <row r="51" spans="1:15" ht="31.8" customHeight="1" x14ac:dyDescent="0.3">
      <c r="A51" s="1"/>
      <c r="B51" s="64" t="s">
        <v>31</v>
      </c>
      <c r="C51" s="64" t="s">
        <v>70</v>
      </c>
      <c r="D51" s="55" t="s">
        <v>66</v>
      </c>
      <c r="E51" s="119">
        <v>4</v>
      </c>
      <c r="F51" s="98">
        <v>5</v>
      </c>
      <c r="G51" s="97">
        <f t="shared" si="0"/>
        <v>-1</v>
      </c>
      <c r="H51" s="99">
        <v>5</v>
      </c>
      <c r="I51" s="250"/>
      <c r="J51" s="251"/>
      <c r="K51" s="1"/>
      <c r="L51" s="1"/>
      <c r="M51" s="1"/>
      <c r="N51" s="1"/>
      <c r="O51" s="10"/>
    </row>
    <row r="52" spans="1:15" ht="31.8" customHeight="1" thickBot="1" x14ac:dyDescent="0.35">
      <c r="A52" s="1"/>
      <c r="B52" s="64" t="s">
        <v>31</v>
      </c>
      <c r="C52" s="64" t="s">
        <v>70</v>
      </c>
      <c r="D52" s="55" t="s">
        <v>68</v>
      </c>
      <c r="E52" s="122">
        <v>3</v>
      </c>
      <c r="F52" s="123">
        <v>5</v>
      </c>
      <c r="G52" s="124">
        <f t="shared" si="0"/>
        <v>-2</v>
      </c>
      <c r="H52" s="125">
        <v>5</v>
      </c>
      <c r="I52" s="268"/>
      <c r="J52" s="269"/>
      <c r="K52" s="1"/>
      <c r="L52" s="1"/>
      <c r="M52" s="1"/>
      <c r="N52" s="1"/>
      <c r="O52" s="10"/>
    </row>
    <row r="53" spans="1:15" ht="31.8" customHeight="1" thickBot="1" x14ac:dyDescent="0.35">
      <c r="A53" s="1"/>
      <c r="B53" s="264" t="s">
        <v>177</v>
      </c>
      <c r="C53" s="265"/>
      <c r="D53" s="265"/>
      <c r="E53" s="130">
        <f>AVERAGE(E27:E52)</f>
        <v>3.4615384615384617</v>
      </c>
      <c r="F53" s="131">
        <f>AVERAGE(F27:F52)</f>
        <v>2.7692307692307692</v>
      </c>
      <c r="G53" s="132"/>
      <c r="H53" s="130">
        <f>AVERAGE(H27:H52)</f>
        <v>2.7692307692307692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V99"/>
  <sheetViews>
    <sheetView zoomScale="110" zoomScaleNormal="110" workbookViewId="0">
      <selection activeCell="F27" sqref="F27"/>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186</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209</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ht="27.6" x14ac:dyDescent="0.3">
      <c r="A7" s="16"/>
      <c r="B7" s="39" t="s">
        <v>21</v>
      </c>
      <c r="C7" s="168" t="s">
        <v>265</v>
      </c>
      <c r="D7" s="16"/>
      <c r="E7" s="39" t="s">
        <v>20</v>
      </c>
      <c r="F7" s="168" t="s">
        <v>262</v>
      </c>
      <c r="G7" s="16"/>
      <c r="H7" s="39" t="s">
        <v>130</v>
      </c>
      <c r="I7" s="168">
        <v>1</v>
      </c>
      <c r="J7" s="16"/>
      <c r="K7" s="16"/>
      <c r="L7" s="16"/>
      <c r="M7" s="16"/>
      <c r="N7" s="16"/>
      <c r="O7" s="16"/>
    </row>
    <row r="8" spans="1:15" x14ac:dyDescent="0.3">
      <c r="A8" s="16"/>
      <c r="B8" s="16"/>
      <c r="C8" s="16"/>
      <c r="D8" s="16"/>
      <c r="E8" s="70" t="s">
        <v>263</v>
      </c>
      <c r="F8" s="16"/>
      <c r="G8" s="16"/>
      <c r="H8" s="16"/>
      <c r="I8" s="16"/>
      <c r="J8" s="16"/>
      <c r="K8" s="16"/>
      <c r="L8" s="16"/>
      <c r="M8" s="16"/>
      <c r="N8" s="16"/>
      <c r="O8" s="16"/>
    </row>
    <row r="9" spans="1:15" x14ac:dyDescent="0.3">
      <c r="A9" s="16"/>
      <c r="B9" s="39" t="s">
        <v>9</v>
      </c>
      <c r="C9" s="168" t="s">
        <v>3</v>
      </c>
      <c r="D9" s="16"/>
      <c r="E9" s="39" t="s">
        <v>122</v>
      </c>
      <c r="F9" s="74" t="s">
        <v>264</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4" t="s">
        <v>260</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96.6" customHeight="1" thickBot="1" x14ac:dyDescent="0.35">
      <c r="A17" s="1"/>
      <c r="B17" s="244" t="s">
        <v>261</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259</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3</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30</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2</v>
      </c>
      <c r="G27" s="97">
        <f>($E27-$F27)</f>
        <v>2</v>
      </c>
      <c r="H27" s="99">
        <v>2</v>
      </c>
      <c r="I27" s="262"/>
      <c r="J27" s="263"/>
      <c r="K27" s="1"/>
      <c r="L27" s="1"/>
      <c r="M27" s="1"/>
      <c r="N27" s="1"/>
      <c r="O27" s="10"/>
    </row>
    <row r="28" spans="1:15" ht="31.8" customHeight="1" x14ac:dyDescent="0.3">
      <c r="A28" s="1"/>
      <c r="B28" s="48" t="s">
        <v>71</v>
      </c>
      <c r="C28" s="64" t="s">
        <v>32</v>
      </c>
      <c r="D28" s="60" t="s">
        <v>107</v>
      </c>
      <c r="E28" s="119">
        <v>4</v>
      </c>
      <c r="F28" s="98">
        <v>1</v>
      </c>
      <c r="G28" s="97">
        <f t="shared" ref="G28:G52" si="0">($E28-$F28)</f>
        <v>3</v>
      </c>
      <c r="H28" s="99">
        <v>2</v>
      </c>
      <c r="I28" s="250"/>
      <c r="J28" s="251"/>
      <c r="K28" s="1"/>
      <c r="L28" s="1"/>
      <c r="M28" s="1"/>
      <c r="N28" s="1"/>
      <c r="O28" s="10"/>
    </row>
    <row r="29" spans="1:15" ht="31.8" customHeight="1" x14ac:dyDescent="0.3">
      <c r="A29" s="1"/>
      <c r="B29" s="48" t="s">
        <v>71</v>
      </c>
      <c r="C29" s="64" t="s">
        <v>32</v>
      </c>
      <c r="D29" s="60" t="s">
        <v>108</v>
      </c>
      <c r="E29" s="119">
        <v>4</v>
      </c>
      <c r="F29" s="98">
        <v>1</v>
      </c>
      <c r="G29" s="97">
        <f t="shared" si="0"/>
        <v>3</v>
      </c>
      <c r="H29" s="99">
        <v>2</v>
      </c>
      <c r="I29" s="250"/>
      <c r="J29" s="251"/>
      <c r="K29" s="1"/>
      <c r="L29" s="1"/>
      <c r="M29" s="1"/>
      <c r="N29" s="1"/>
      <c r="O29" s="10"/>
    </row>
    <row r="30" spans="1:15" ht="31.8" customHeight="1" x14ac:dyDescent="0.3">
      <c r="A30" s="1"/>
      <c r="B30" s="48" t="s">
        <v>71</v>
      </c>
      <c r="C30" s="64" t="s">
        <v>32</v>
      </c>
      <c r="D30" s="60" t="s">
        <v>109</v>
      </c>
      <c r="E30" s="119">
        <v>5</v>
      </c>
      <c r="F30" s="98">
        <v>1</v>
      </c>
      <c r="G30" s="97">
        <f t="shared" si="0"/>
        <v>4</v>
      </c>
      <c r="H30" s="99">
        <v>2</v>
      </c>
      <c r="I30" s="250"/>
      <c r="J30" s="251"/>
      <c r="K30" s="1"/>
      <c r="L30" s="1"/>
      <c r="M30" s="1"/>
      <c r="N30" s="1"/>
      <c r="O30" s="10"/>
    </row>
    <row r="31" spans="1:15" ht="31.8" customHeight="1" x14ac:dyDescent="0.3">
      <c r="A31" s="1"/>
      <c r="B31" s="48" t="s">
        <v>71</v>
      </c>
      <c r="C31" s="64" t="s">
        <v>33</v>
      </c>
      <c r="D31" s="60" t="s">
        <v>110</v>
      </c>
      <c r="E31" s="119">
        <v>4</v>
      </c>
      <c r="F31" s="98">
        <v>2</v>
      </c>
      <c r="G31" s="97">
        <f t="shared" si="0"/>
        <v>2</v>
      </c>
      <c r="H31" s="99">
        <v>2</v>
      </c>
      <c r="I31" s="250"/>
      <c r="J31" s="251"/>
      <c r="K31" s="1"/>
      <c r="L31" s="1"/>
      <c r="M31" s="1"/>
      <c r="N31" s="1"/>
      <c r="O31" s="10"/>
    </row>
    <row r="32" spans="1:15" ht="31.8" customHeight="1" x14ac:dyDescent="0.3">
      <c r="A32" s="1"/>
      <c r="B32" s="48" t="s">
        <v>71</v>
      </c>
      <c r="C32" s="64" t="s">
        <v>33</v>
      </c>
      <c r="D32" s="60" t="s">
        <v>111</v>
      </c>
      <c r="E32" s="119">
        <v>4</v>
      </c>
      <c r="F32" s="98">
        <v>1</v>
      </c>
      <c r="G32" s="97">
        <f t="shared" si="0"/>
        <v>3</v>
      </c>
      <c r="H32" s="99">
        <v>2</v>
      </c>
      <c r="I32" s="250"/>
      <c r="J32" s="251"/>
      <c r="K32" s="1"/>
      <c r="L32" s="1"/>
      <c r="M32" s="1"/>
      <c r="N32" s="1"/>
      <c r="O32" s="10"/>
    </row>
    <row r="33" spans="1:22" ht="31.8" customHeight="1" x14ac:dyDescent="0.3">
      <c r="A33" s="1"/>
      <c r="B33" s="48" t="s">
        <v>71</v>
      </c>
      <c r="C33" s="64" t="s">
        <v>33</v>
      </c>
      <c r="D33" s="60" t="s">
        <v>112</v>
      </c>
      <c r="E33" s="119">
        <v>4</v>
      </c>
      <c r="F33" s="98">
        <v>1</v>
      </c>
      <c r="G33" s="97">
        <f t="shared" si="0"/>
        <v>3</v>
      </c>
      <c r="H33" s="99">
        <v>2</v>
      </c>
      <c r="I33" s="250"/>
      <c r="J33" s="251"/>
      <c r="K33" s="1"/>
      <c r="L33" s="1"/>
      <c r="M33" s="1"/>
      <c r="N33" s="1"/>
      <c r="O33" s="10"/>
    </row>
    <row r="34" spans="1:22" ht="31.8" customHeight="1" x14ac:dyDescent="0.3">
      <c r="A34" s="1"/>
      <c r="B34" s="48" t="s">
        <v>71</v>
      </c>
      <c r="C34" s="64" t="s">
        <v>33</v>
      </c>
      <c r="D34" s="60" t="s">
        <v>113</v>
      </c>
      <c r="E34" s="119">
        <v>5</v>
      </c>
      <c r="F34" s="98">
        <v>1</v>
      </c>
      <c r="G34" s="97">
        <f t="shared" si="0"/>
        <v>4</v>
      </c>
      <c r="H34" s="99">
        <v>2</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9">
        <v>2</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9">
        <v>2</v>
      </c>
      <c r="I36" s="250"/>
      <c r="J36" s="251"/>
      <c r="K36" s="1"/>
      <c r="L36" s="1"/>
      <c r="M36" s="1"/>
      <c r="N36" s="1"/>
      <c r="O36" s="10"/>
    </row>
    <row r="37" spans="1:22" ht="31.8" customHeight="1" x14ac:dyDescent="0.3">
      <c r="A37" s="1"/>
      <c r="B37" s="48" t="s">
        <v>71</v>
      </c>
      <c r="C37" s="64" t="s">
        <v>39</v>
      </c>
      <c r="D37" s="60" t="s">
        <v>116</v>
      </c>
      <c r="E37" s="120">
        <v>4</v>
      </c>
      <c r="F37" s="98">
        <v>3</v>
      </c>
      <c r="G37" s="97">
        <f t="shared" si="0"/>
        <v>1</v>
      </c>
      <c r="H37" s="99">
        <v>2</v>
      </c>
      <c r="I37" s="250"/>
      <c r="J37" s="251"/>
      <c r="K37" s="1"/>
      <c r="L37" s="1"/>
      <c r="M37" s="1"/>
      <c r="N37" s="1"/>
      <c r="O37" s="10"/>
    </row>
    <row r="38" spans="1:22" ht="31.8" customHeight="1" x14ac:dyDescent="0.3">
      <c r="A38" s="1"/>
      <c r="B38" s="48" t="s">
        <v>71</v>
      </c>
      <c r="C38" s="64" t="s">
        <v>39</v>
      </c>
      <c r="D38" s="60" t="s">
        <v>117</v>
      </c>
      <c r="E38" s="120">
        <v>4</v>
      </c>
      <c r="F38" s="98">
        <v>3</v>
      </c>
      <c r="G38" s="97">
        <f t="shared" si="0"/>
        <v>1</v>
      </c>
      <c r="H38" s="99">
        <v>2</v>
      </c>
      <c r="I38" s="250"/>
      <c r="J38" s="251"/>
      <c r="K38" s="1"/>
      <c r="L38" s="1"/>
      <c r="M38" s="1"/>
      <c r="N38" s="1"/>
      <c r="O38" s="10"/>
    </row>
    <row r="39" spans="1:22" ht="31.8" customHeight="1" x14ac:dyDescent="0.3">
      <c r="A39" s="1"/>
      <c r="B39" s="48" t="s">
        <v>71</v>
      </c>
      <c r="C39" s="64" t="s">
        <v>42</v>
      </c>
      <c r="D39" s="60" t="s">
        <v>118</v>
      </c>
      <c r="E39" s="119">
        <v>4</v>
      </c>
      <c r="F39" s="98">
        <v>3</v>
      </c>
      <c r="G39" s="97">
        <f t="shared" si="0"/>
        <v>1</v>
      </c>
      <c r="H39" s="99">
        <v>2</v>
      </c>
      <c r="I39" s="250"/>
      <c r="J39" s="251"/>
      <c r="K39" s="1"/>
      <c r="L39" s="1"/>
      <c r="M39" s="1"/>
      <c r="N39" s="1"/>
      <c r="O39" s="10"/>
    </row>
    <row r="40" spans="1:22" ht="31.8" customHeight="1" x14ac:dyDescent="0.3">
      <c r="A40" s="1"/>
      <c r="B40" s="48" t="s">
        <v>71</v>
      </c>
      <c r="C40" s="64" t="s">
        <v>42</v>
      </c>
      <c r="D40" s="60" t="s">
        <v>119</v>
      </c>
      <c r="E40" s="119">
        <v>3</v>
      </c>
      <c r="F40" s="98">
        <v>1</v>
      </c>
      <c r="G40" s="97">
        <f t="shared" si="0"/>
        <v>2</v>
      </c>
      <c r="H40" s="99">
        <v>2</v>
      </c>
      <c r="I40" s="250"/>
      <c r="J40" s="251"/>
      <c r="K40" s="1"/>
      <c r="L40" s="1"/>
      <c r="M40" s="1"/>
      <c r="N40" s="1"/>
      <c r="O40" s="10"/>
    </row>
    <row r="41" spans="1:22" s="96" customFormat="1" ht="31.8" customHeight="1" x14ac:dyDescent="0.3">
      <c r="A41" s="1"/>
      <c r="B41" s="48" t="s">
        <v>71</v>
      </c>
      <c r="C41" s="64" t="s">
        <v>45</v>
      </c>
      <c r="D41" s="60" t="s">
        <v>120</v>
      </c>
      <c r="E41" s="121">
        <v>4</v>
      </c>
      <c r="F41" s="100">
        <v>3</v>
      </c>
      <c r="G41" s="97">
        <f t="shared" si="0"/>
        <v>1</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5</v>
      </c>
      <c r="F42" s="98">
        <v>1</v>
      </c>
      <c r="G42" s="97">
        <f>($E42-$F42)</f>
        <v>4</v>
      </c>
      <c r="H42" s="99">
        <v>2</v>
      </c>
      <c r="I42" s="250"/>
      <c r="J42" s="251"/>
      <c r="K42" s="1"/>
      <c r="L42" s="1"/>
      <c r="M42" s="1"/>
      <c r="N42" s="1"/>
      <c r="O42" s="10"/>
    </row>
    <row r="43" spans="1:22" ht="31.8" customHeight="1" x14ac:dyDescent="0.3">
      <c r="A43" s="1"/>
      <c r="B43" s="48" t="s">
        <v>71</v>
      </c>
      <c r="C43" s="64" t="s">
        <v>47</v>
      </c>
      <c r="D43" s="60" t="s">
        <v>121</v>
      </c>
      <c r="E43" s="119">
        <v>5</v>
      </c>
      <c r="F43" s="98">
        <v>1</v>
      </c>
      <c r="G43" s="97">
        <f t="shared" si="0"/>
        <v>4</v>
      </c>
      <c r="H43" s="99">
        <v>2</v>
      </c>
      <c r="I43" s="250"/>
      <c r="J43" s="251"/>
      <c r="K43" s="1"/>
      <c r="L43" s="1"/>
      <c r="M43" s="1"/>
      <c r="N43" s="1"/>
      <c r="O43" s="10"/>
    </row>
    <row r="44" spans="1:22" ht="31.8" customHeight="1" x14ac:dyDescent="0.3">
      <c r="A44" s="1"/>
      <c r="B44" s="48" t="s">
        <v>71</v>
      </c>
      <c r="C44" s="64" t="s">
        <v>50</v>
      </c>
      <c r="D44" s="60" t="s">
        <v>51</v>
      </c>
      <c r="E44" s="119">
        <v>4</v>
      </c>
      <c r="F44" s="100">
        <v>1</v>
      </c>
      <c r="G44" s="97">
        <f t="shared" si="0"/>
        <v>3</v>
      </c>
      <c r="H44" s="99">
        <v>2</v>
      </c>
      <c r="I44" s="250"/>
      <c r="J44" s="251"/>
      <c r="K44" s="1"/>
      <c r="L44" s="1"/>
      <c r="M44" s="1"/>
      <c r="N44" s="1"/>
      <c r="O44" s="10"/>
    </row>
    <row r="45" spans="1:22" ht="31.8" customHeight="1" x14ac:dyDescent="0.3">
      <c r="A45" s="1"/>
      <c r="B45" s="48" t="s">
        <v>71</v>
      </c>
      <c r="C45" s="64" t="s">
        <v>50</v>
      </c>
      <c r="D45" s="60" t="s">
        <v>53</v>
      </c>
      <c r="E45" s="119">
        <v>4</v>
      </c>
      <c r="F45" s="98">
        <v>1</v>
      </c>
      <c r="G45" s="97">
        <f t="shared" si="0"/>
        <v>3</v>
      </c>
      <c r="H45" s="99">
        <v>2</v>
      </c>
      <c r="I45" s="250"/>
      <c r="J45" s="251"/>
      <c r="K45" s="1"/>
      <c r="L45" s="1"/>
      <c r="M45" s="1"/>
      <c r="N45" s="1"/>
      <c r="O45" s="10"/>
    </row>
    <row r="46" spans="1:22" ht="31.8" customHeight="1" x14ac:dyDescent="0.3">
      <c r="A46" s="1"/>
      <c r="B46" s="48" t="s">
        <v>71</v>
      </c>
      <c r="C46" s="64" t="s">
        <v>50</v>
      </c>
      <c r="D46" s="60" t="s">
        <v>55</v>
      </c>
      <c r="E46" s="119">
        <v>5</v>
      </c>
      <c r="F46" s="98">
        <v>1</v>
      </c>
      <c r="G46" s="97">
        <f t="shared" si="0"/>
        <v>4</v>
      </c>
      <c r="H46" s="99">
        <v>2</v>
      </c>
      <c r="I46" s="250"/>
      <c r="J46" s="251"/>
      <c r="K46" s="1"/>
      <c r="L46" s="1"/>
      <c r="M46" s="1"/>
      <c r="N46" s="1"/>
      <c r="O46" s="10"/>
    </row>
    <row r="47" spans="1:22" ht="31.8" customHeight="1" x14ac:dyDescent="0.3">
      <c r="A47" s="1"/>
      <c r="B47" s="48" t="s">
        <v>71</v>
      </c>
      <c r="C47" s="64" t="s">
        <v>57</v>
      </c>
      <c r="D47" s="62" t="s">
        <v>58</v>
      </c>
      <c r="E47" s="119">
        <v>4</v>
      </c>
      <c r="F47" s="100">
        <v>3</v>
      </c>
      <c r="G47" s="97">
        <f t="shared" si="0"/>
        <v>1</v>
      </c>
      <c r="H47" s="99">
        <v>2</v>
      </c>
      <c r="I47" s="250"/>
      <c r="J47" s="251"/>
      <c r="K47" s="1"/>
      <c r="L47" s="1"/>
      <c r="M47" s="1"/>
      <c r="N47" s="1"/>
      <c r="O47" s="10"/>
    </row>
    <row r="48" spans="1:22" ht="31.8" customHeight="1" x14ac:dyDescent="0.3">
      <c r="A48" s="1"/>
      <c r="B48" s="64" t="s">
        <v>31</v>
      </c>
      <c r="C48" s="64" t="s">
        <v>70</v>
      </c>
      <c r="D48" s="55" t="s">
        <v>60</v>
      </c>
      <c r="E48" s="119">
        <v>4</v>
      </c>
      <c r="F48" s="98">
        <v>3</v>
      </c>
      <c r="G48" s="97">
        <f t="shared" si="0"/>
        <v>1</v>
      </c>
      <c r="H48" s="99">
        <v>2</v>
      </c>
      <c r="I48" s="250"/>
      <c r="J48" s="251"/>
      <c r="K48" s="1"/>
      <c r="L48" s="1"/>
      <c r="M48" s="1"/>
      <c r="N48" s="1"/>
      <c r="O48" s="10"/>
    </row>
    <row r="49" spans="1:15" ht="31.8" customHeight="1" x14ac:dyDescent="0.3">
      <c r="A49" s="1"/>
      <c r="B49" s="64" t="s">
        <v>31</v>
      </c>
      <c r="C49" s="64" t="s">
        <v>70</v>
      </c>
      <c r="D49" s="55" t="s">
        <v>62</v>
      </c>
      <c r="E49" s="119">
        <v>4</v>
      </c>
      <c r="F49" s="98">
        <v>3</v>
      </c>
      <c r="G49" s="97">
        <f t="shared" si="0"/>
        <v>1</v>
      </c>
      <c r="H49" s="99">
        <v>2</v>
      </c>
      <c r="I49" s="250"/>
      <c r="J49" s="251"/>
      <c r="K49" s="1"/>
      <c r="L49" s="1"/>
      <c r="M49" s="1"/>
      <c r="N49" s="1"/>
      <c r="O49" s="10"/>
    </row>
    <row r="50" spans="1:15" ht="31.8" customHeight="1" x14ac:dyDescent="0.3">
      <c r="A50" s="1"/>
      <c r="B50" s="64" t="s">
        <v>31</v>
      </c>
      <c r="C50" s="64" t="s">
        <v>70</v>
      </c>
      <c r="D50" s="55" t="s">
        <v>64</v>
      </c>
      <c r="E50" s="119">
        <v>5</v>
      </c>
      <c r="F50" s="98">
        <v>2</v>
      </c>
      <c r="G50" s="97">
        <f t="shared" si="0"/>
        <v>3</v>
      </c>
      <c r="H50" s="99">
        <v>2</v>
      </c>
      <c r="I50" s="250"/>
      <c r="J50" s="251"/>
      <c r="K50" s="1"/>
      <c r="L50" s="1"/>
      <c r="M50" s="1"/>
      <c r="N50" s="1"/>
      <c r="O50" s="10"/>
    </row>
    <row r="51" spans="1:15" ht="31.8" customHeight="1" x14ac:dyDescent="0.3">
      <c r="A51" s="1"/>
      <c r="B51" s="64" t="s">
        <v>31</v>
      </c>
      <c r="C51" s="64" t="s">
        <v>70</v>
      </c>
      <c r="D51" s="55" t="s">
        <v>66</v>
      </c>
      <c r="E51" s="119">
        <v>5</v>
      </c>
      <c r="F51" s="98">
        <v>3</v>
      </c>
      <c r="G51" s="97">
        <f t="shared" si="0"/>
        <v>2</v>
      </c>
      <c r="H51" s="99">
        <v>2</v>
      </c>
      <c r="I51" s="250"/>
      <c r="J51" s="251"/>
      <c r="K51" s="1"/>
      <c r="L51" s="1"/>
      <c r="M51" s="1"/>
      <c r="N51" s="1"/>
      <c r="O51" s="10"/>
    </row>
    <row r="52" spans="1:15" ht="31.8" customHeight="1" thickBot="1" x14ac:dyDescent="0.35">
      <c r="A52" s="1"/>
      <c r="B52" s="64" t="s">
        <v>31</v>
      </c>
      <c r="C52" s="64" t="s">
        <v>70</v>
      </c>
      <c r="D52" s="55" t="s">
        <v>68</v>
      </c>
      <c r="E52" s="122">
        <v>4</v>
      </c>
      <c r="F52" s="123">
        <v>3</v>
      </c>
      <c r="G52" s="124">
        <f t="shared" si="0"/>
        <v>1</v>
      </c>
      <c r="H52" s="125">
        <v>2</v>
      </c>
      <c r="I52" s="268"/>
      <c r="J52" s="269"/>
      <c r="K52" s="1"/>
      <c r="L52" s="1"/>
      <c r="M52" s="1"/>
      <c r="N52" s="1"/>
      <c r="O52" s="10"/>
    </row>
    <row r="53" spans="1:15" ht="31.8" customHeight="1" thickBot="1" x14ac:dyDescent="0.35">
      <c r="A53" s="1"/>
      <c r="B53" s="264" t="s">
        <v>177</v>
      </c>
      <c r="C53" s="265"/>
      <c r="D53" s="265"/>
      <c r="E53" s="130">
        <f>AVERAGE(E27:E52)</f>
        <v>4.2307692307692308</v>
      </c>
      <c r="F53" s="131">
        <f>AVERAGE(F27:F52)</f>
        <v>1.8076923076923077</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V99"/>
  <sheetViews>
    <sheetView topLeftCell="A13" zoomScale="110" zoomScaleNormal="110" workbookViewId="0">
      <selection activeCell="D44" sqref="D44"/>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69" t="s">
        <v>185</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208</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168" t="s">
        <v>284</v>
      </c>
      <c r="D7" s="16"/>
      <c r="E7" s="39" t="s">
        <v>20</v>
      </c>
      <c r="F7" s="168" t="s">
        <v>283</v>
      </c>
      <c r="G7" s="16"/>
      <c r="H7" s="39" t="s">
        <v>130</v>
      </c>
      <c r="I7" s="168">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168" t="s">
        <v>3</v>
      </c>
      <c r="D9" s="16"/>
      <c r="E9" s="39" t="s">
        <v>122</v>
      </c>
      <c r="F9" s="74" t="s">
        <v>264</v>
      </c>
      <c r="G9" s="16"/>
      <c r="H9" s="39" t="s">
        <v>94</v>
      </c>
      <c r="I9" s="168">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t="s">
        <v>287</v>
      </c>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4" t="s">
        <v>285</v>
      </c>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4" t="s">
        <v>286</v>
      </c>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3</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30</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4</v>
      </c>
      <c r="F27" s="98">
        <v>1</v>
      </c>
      <c r="G27" s="97">
        <f>($E27-$F27)</f>
        <v>3</v>
      </c>
      <c r="H27" s="99">
        <v>2</v>
      </c>
      <c r="I27" s="262"/>
      <c r="J27" s="263"/>
      <c r="K27" s="1"/>
      <c r="L27" s="1"/>
      <c r="M27" s="1"/>
      <c r="N27" s="1"/>
      <c r="O27" s="10"/>
    </row>
    <row r="28" spans="1:15" ht="31.8" customHeight="1" x14ac:dyDescent="0.3">
      <c r="A28" s="1"/>
      <c r="B28" s="48" t="s">
        <v>71</v>
      </c>
      <c r="C28" s="64" t="s">
        <v>32</v>
      </c>
      <c r="D28" s="60" t="s">
        <v>107</v>
      </c>
      <c r="E28" s="119">
        <v>4</v>
      </c>
      <c r="F28" s="98">
        <v>1</v>
      </c>
      <c r="G28" s="97">
        <f t="shared" ref="G28:G52" si="0">($E28-$F28)</f>
        <v>3</v>
      </c>
      <c r="H28" s="99">
        <v>2</v>
      </c>
      <c r="I28" s="250"/>
      <c r="J28" s="251"/>
      <c r="K28" s="1"/>
      <c r="L28" s="1"/>
      <c r="M28" s="1"/>
      <c r="N28" s="1"/>
      <c r="O28" s="10"/>
    </row>
    <row r="29" spans="1:15" ht="31.8" customHeight="1" x14ac:dyDescent="0.3">
      <c r="A29" s="1"/>
      <c r="B29" s="48" t="s">
        <v>71</v>
      </c>
      <c r="C29" s="64" t="s">
        <v>32</v>
      </c>
      <c r="D29" s="60" t="s">
        <v>108</v>
      </c>
      <c r="E29" s="119">
        <v>4</v>
      </c>
      <c r="F29" s="98">
        <v>1</v>
      </c>
      <c r="G29" s="97">
        <f t="shared" si="0"/>
        <v>3</v>
      </c>
      <c r="H29" s="99">
        <v>2</v>
      </c>
      <c r="I29" s="250"/>
      <c r="J29" s="251"/>
      <c r="K29" s="1"/>
      <c r="L29" s="1"/>
      <c r="M29" s="1"/>
      <c r="N29" s="1"/>
      <c r="O29" s="10"/>
    </row>
    <row r="30" spans="1:15" ht="31.8" customHeight="1" x14ac:dyDescent="0.3">
      <c r="A30" s="1"/>
      <c r="B30" s="48" t="s">
        <v>71</v>
      </c>
      <c r="C30" s="64" t="s">
        <v>32</v>
      </c>
      <c r="D30" s="60" t="s">
        <v>109</v>
      </c>
      <c r="E30" s="119">
        <v>5</v>
      </c>
      <c r="F30" s="98">
        <v>2</v>
      </c>
      <c r="G30" s="97">
        <f t="shared" si="0"/>
        <v>3</v>
      </c>
      <c r="H30" s="99">
        <v>2</v>
      </c>
      <c r="I30" s="250"/>
      <c r="J30" s="251"/>
      <c r="K30" s="1"/>
      <c r="L30" s="1"/>
      <c r="M30" s="1"/>
      <c r="N30" s="1"/>
      <c r="O30" s="10"/>
    </row>
    <row r="31" spans="1:15" ht="31.8" customHeight="1" x14ac:dyDescent="0.3">
      <c r="A31" s="1"/>
      <c r="B31" s="177" t="s">
        <v>71</v>
      </c>
      <c r="C31" s="178" t="s">
        <v>33</v>
      </c>
      <c r="D31" s="179" t="s">
        <v>110</v>
      </c>
      <c r="E31" s="180">
        <v>4</v>
      </c>
      <c r="F31" s="181">
        <v>3</v>
      </c>
      <c r="G31" s="205">
        <f t="shared" si="0"/>
        <v>1</v>
      </c>
      <c r="H31" s="206">
        <v>2</v>
      </c>
      <c r="I31" s="250"/>
      <c r="J31" s="251"/>
      <c r="K31" s="1"/>
      <c r="L31" s="1"/>
      <c r="M31" s="1"/>
      <c r="N31" s="1"/>
      <c r="O31" s="10"/>
    </row>
    <row r="32" spans="1:15" ht="31.8" customHeight="1" x14ac:dyDescent="0.3">
      <c r="A32" s="1"/>
      <c r="B32" s="177" t="s">
        <v>71</v>
      </c>
      <c r="C32" s="178" t="s">
        <v>33</v>
      </c>
      <c r="D32" s="179" t="s">
        <v>111</v>
      </c>
      <c r="E32" s="180">
        <v>4</v>
      </c>
      <c r="F32" s="181">
        <v>3</v>
      </c>
      <c r="G32" s="205">
        <f t="shared" si="0"/>
        <v>1</v>
      </c>
      <c r="H32" s="206">
        <v>2</v>
      </c>
      <c r="I32" s="250"/>
      <c r="J32" s="251"/>
      <c r="K32" s="1"/>
      <c r="L32" s="1"/>
      <c r="M32" s="1"/>
      <c r="N32" s="1"/>
      <c r="O32" s="10"/>
    </row>
    <row r="33" spans="1:22" ht="31.8" customHeight="1" x14ac:dyDescent="0.3">
      <c r="A33" s="1"/>
      <c r="B33" s="177" t="s">
        <v>71</v>
      </c>
      <c r="C33" s="178" t="s">
        <v>33</v>
      </c>
      <c r="D33" s="179" t="s">
        <v>112</v>
      </c>
      <c r="E33" s="180">
        <v>4</v>
      </c>
      <c r="F33" s="181">
        <v>1</v>
      </c>
      <c r="G33" s="205">
        <f t="shared" si="0"/>
        <v>3</v>
      </c>
      <c r="H33" s="206">
        <v>2</v>
      </c>
      <c r="I33" s="250"/>
      <c r="J33" s="251"/>
      <c r="K33" s="1"/>
      <c r="L33" s="1"/>
      <c r="M33" s="1"/>
      <c r="N33" s="1"/>
      <c r="O33" s="10"/>
    </row>
    <row r="34" spans="1:22" ht="31.8" customHeight="1" x14ac:dyDescent="0.3">
      <c r="A34" s="1"/>
      <c r="B34" s="177" t="s">
        <v>71</v>
      </c>
      <c r="C34" s="178" t="s">
        <v>33</v>
      </c>
      <c r="D34" s="179" t="s">
        <v>113</v>
      </c>
      <c r="E34" s="180">
        <v>5</v>
      </c>
      <c r="F34" s="181">
        <v>3</v>
      </c>
      <c r="G34" s="205">
        <f t="shared" si="0"/>
        <v>2</v>
      </c>
      <c r="H34" s="206">
        <v>2</v>
      </c>
      <c r="I34" s="250"/>
      <c r="J34" s="251"/>
      <c r="K34" s="1"/>
      <c r="L34" s="1"/>
      <c r="M34" s="1"/>
      <c r="N34" s="1"/>
      <c r="O34" s="10"/>
    </row>
    <row r="35" spans="1:22" ht="31.8" customHeight="1" x14ac:dyDescent="0.3">
      <c r="A35" s="1"/>
      <c r="B35" s="48" t="s">
        <v>71</v>
      </c>
      <c r="C35" s="64" t="s">
        <v>38</v>
      </c>
      <c r="D35" s="60" t="s">
        <v>114</v>
      </c>
      <c r="E35" s="119">
        <v>4</v>
      </c>
      <c r="F35" s="98">
        <v>1</v>
      </c>
      <c r="G35" s="97">
        <f t="shared" si="0"/>
        <v>3</v>
      </c>
      <c r="H35" s="99">
        <v>2</v>
      </c>
      <c r="I35" s="250"/>
      <c r="J35" s="251"/>
      <c r="K35" s="1"/>
      <c r="L35" s="1"/>
      <c r="M35" s="1"/>
      <c r="N35" s="1"/>
      <c r="O35" s="10"/>
    </row>
    <row r="36" spans="1:22" ht="31.8" customHeight="1" x14ac:dyDescent="0.3">
      <c r="A36" s="1"/>
      <c r="B36" s="48" t="s">
        <v>71</v>
      </c>
      <c r="C36" s="64" t="s">
        <v>38</v>
      </c>
      <c r="D36" s="60" t="s">
        <v>115</v>
      </c>
      <c r="E36" s="119">
        <v>4</v>
      </c>
      <c r="F36" s="98">
        <v>1</v>
      </c>
      <c r="G36" s="97">
        <f t="shared" si="0"/>
        <v>3</v>
      </c>
      <c r="H36" s="99">
        <v>2</v>
      </c>
      <c r="I36" s="250"/>
      <c r="J36" s="251"/>
      <c r="K36" s="1"/>
      <c r="L36" s="1"/>
      <c r="M36" s="1"/>
      <c r="N36" s="1"/>
      <c r="O36" s="10"/>
    </row>
    <row r="37" spans="1:22" ht="31.8" customHeight="1" x14ac:dyDescent="0.3">
      <c r="A37" s="1"/>
      <c r="B37" s="177" t="s">
        <v>71</v>
      </c>
      <c r="C37" s="178" t="s">
        <v>39</v>
      </c>
      <c r="D37" s="179" t="s">
        <v>116</v>
      </c>
      <c r="E37" s="204">
        <v>4</v>
      </c>
      <c r="F37" s="181">
        <v>3</v>
      </c>
      <c r="G37" s="205">
        <f t="shared" si="0"/>
        <v>1</v>
      </c>
      <c r="H37" s="206">
        <v>2</v>
      </c>
      <c r="I37" s="250"/>
      <c r="J37" s="251"/>
      <c r="K37" s="1"/>
      <c r="L37" s="1"/>
      <c r="M37" s="1"/>
      <c r="N37" s="1"/>
      <c r="O37" s="10"/>
    </row>
    <row r="38" spans="1:22" ht="31.8" customHeight="1" x14ac:dyDescent="0.3">
      <c r="A38" s="1"/>
      <c r="B38" s="177" t="s">
        <v>71</v>
      </c>
      <c r="C38" s="178" t="s">
        <v>39</v>
      </c>
      <c r="D38" s="179" t="s">
        <v>117</v>
      </c>
      <c r="E38" s="204">
        <v>4</v>
      </c>
      <c r="F38" s="181">
        <v>3</v>
      </c>
      <c r="G38" s="205">
        <f t="shared" si="0"/>
        <v>1</v>
      </c>
      <c r="H38" s="206">
        <v>2</v>
      </c>
      <c r="I38" s="250"/>
      <c r="J38" s="251"/>
      <c r="K38" s="1"/>
      <c r="L38" s="1"/>
      <c r="M38" s="1"/>
      <c r="N38" s="1"/>
      <c r="O38" s="10"/>
    </row>
    <row r="39" spans="1:22" ht="31.8" customHeight="1" x14ac:dyDescent="0.3">
      <c r="A39" s="1"/>
      <c r="B39" s="177" t="s">
        <v>71</v>
      </c>
      <c r="C39" s="178" t="s">
        <v>42</v>
      </c>
      <c r="D39" s="179" t="s">
        <v>118</v>
      </c>
      <c r="E39" s="180">
        <v>4</v>
      </c>
      <c r="F39" s="181">
        <v>4</v>
      </c>
      <c r="G39" s="205">
        <f t="shared" si="0"/>
        <v>0</v>
      </c>
      <c r="H39" s="206">
        <v>2</v>
      </c>
      <c r="I39" s="250"/>
      <c r="J39" s="251"/>
      <c r="K39" s="1"/>
      <c r="L39" s="1"/>
      <c r="M39" s="1"/>
      <c r="N39" s="1"/>
      <c r="O39" s="10"/>
    </row>
    <row r="40" spans="1:22" ht="31.8" customHeight="1" x14ac:dyDescent="0.3">
      <c r="A40" s="1"/>
      <c r="B40" s="177" t="s">
        <v>71</v>
      </c>
      <c r="C40" s="178" t="s">
        <v>42</v>
      </c>
      <c r="D40" s="179" t="s">
        <v>119</v>
      </c>
      <c r="E40" s="180">
        <v>3</v>
      </c>
      <c r="F40" s="181">
        <v>2</v>
      </c>
      <c r="G40" s="205">
        <f t="shared" si="0"/>
        <v>1</v>
      </c>
      <c r="H40" s="206">
        <v>2</v>
      </c>
      <c r="I40" s="250"/>
      <c r="J40" s="251"/>
      <c r="K40" s="1"/>
      <c r="L40" s="1"/>
      <c r="M40" s="1"/>
      <c r="N40" s="1"/>
      <c r="O40" s="10"/>
    </row>
    <row r="41" spans="1:22" s="96" customFormat="1" ht="31.8" customHeight="1" x14ac:dyDescent="0.3">
      <c r="A41" s="1"/>
      <c r="B41" s="177" t="s">
        <v>71</v>
      </c>
      <c r="C41" s="178" t="s">
        <v>45</v>
      </c>
      <c r="D41" s="179" t="s">
        <v>120</v>
      </c>
      <c r="E41" s="180">
        <v>4</v>
      </c>
      <c r="F41" s="181">
        <v>3</v>
      </c>
      <c r="G41" s="205">
        <f t="shared" si="0"/>
        <v>1</v>
      </c>
      <c r="H41" s="206">
        <v>2</v>
      </c>
      <c r="I41" s="250"/>
      <c r="J41" s="251"/>
      <c r="K41" s="1"/>
      <c r="L41" s="1"/>
      <c r="M41" s="1"/>
      <c r="N41" s="1"/>
      <c r="O41" s="1"/>
      <c r="P41" s="95"/>
      <c r="Q41" s="95"/>
      <c r="R41" s="95"/>
      <c r="S41" s="95"/>
      <c r="T41" s="95"/>
      <c r="U41" s="95"/>
      <c r="V41" s="95"/>
    </row>
    <row r="42" spans="1:22" ht="31.8" customHeight="1" x14ac:dyDescent="0.3">
      <c r="A42" s="1"/>
      <c r="B42" s="177" t="s">
        <v>71</v>
      </c>
      <c r="C42" s="178" t="s">
        <v>47</v>
      </c>
      <c r="D42" s="179" t="s">
        <v>48</v>
      </c>
      <c r="E42" s="180">
        <v>5</v>
      </c>
      <c r="F42" s="181">
        <v>2</v>
      </c>
      <c r="G42" s="205">
        <f>($E42-$F42)</f>
        <v>3</v>
      </c>
      <c r="H42" s="206">
        <v>2</v>
      </c>
      <c r="I42" s="250"/>
      <c r="J42" s="251"/>
      <c r="K42" s="1"/>
      <c r="L42" s="1"/>
      <c r="M42" s="1"/>
      <c r="N42" s="1"/>
      <c r="O42" s="10"/>
    </row>
    <row r="43" spans="1:22" ht="31.8" customHeight="1" x14ac:dyDescent="0.3">
      <c r="A43" s="1"/>
      <c r="B43" s="48" t="s">
        <v>71</v>
      </c>
      <c r="C43" s="64" t="s">
        <v>47</v>
      </c>
      <c r="D43" s="60" t="s">
        <v>121</v>
      </c>
      <c r="E43" s="119">
        <v>5</v>
      </c>
      <c r="F43" s="98">
        <v>1</v>
      </c>
      <c r="G43" s="97">
        <f t="shared" si="0"/>
        <v>4</v>
      </c>
      <c r="H43" s="99">
        <v>2</v>
      </c>
      <c r="I43" s="250"/>
      <c r="J43" s="251"/>
      <c r="K43" s="1"/>
      <c r="L43" s="1"/>
      <c r="M43" s="1"/>
      <c r="N43" s="1"/>
      <c r="O43" s="10"/>
    </row>
    <row r="44" spans="1:22" ht="31.8" customHeight="1" x14ac:dyDescent="0.3">
      <c r="A44" s="1"/>
      <c r="B44" s="48" t="s">
        <v>71</v>
      </c>
      <c r="C44" s="64" t="s">
        <v>50</v>
      </c>
      <c r="D44" s="60" t="s">
        <v>51</v>
      </c>
      <c r="E44" s="119">
        <v>4</v>
      </c>
      <c r="F44" s="100">
        <v>1</v>
      </c>
      <c r="G44" s="97">
        <f t="shared" si="0"/>
        <v>3</v>
      </c>
      <c r="H44" s="99">
        <v>2</v>
      </c>
      <c r="I44" s="250"/>
      <c r="J44" s="251"/>
      <c r="K44" s="1"/>
      <c r="L44" s="1"/>
      <c r="M44" s="1"/>
      <c r="N44" s="1"/>
      <c r="O44" s="10"/>
    </row>
    <row r="45" spans="1:22" ht="31.8" customHeight="1" x14ac:dyDescent="0.3">
      <c r="A45" s="1"/>
      <c r="B45" s="48" t="s">
        <v>71</v>
      </c>
      <c r="C45" s="64" t="s">
        <v>50</v>
      </c>
      <c r="D45" s="60" t="s">
        <v>53</v>
      </c>
      <c r="E45" s="119">
        <v>4</v>
      </c>
      <c r="F45" s="98">
        <v>1</v>
      </c>
      <c r="G45" s="97">
        <f t="shared" si="0"/>
        <v>3</v>
      </c>
      <c r="H45" s="99">
        <v>2</v>
      </c>
      <c r="I45" s="250"/>
      <c r="J45" s="251"/>
      <c r="K45" s="1"/>
      <c r="L45" s="1"/>
      <c r="M45" s="1"/>
      <c r="N45" s="1"/>
      <c r="O45" s="10"/>
    </row>
    <row r="46" spans="1:22" ht="31.8" customHeight="1" x14ac:dyDescent="0.3">
      <c r="A46" s="1"/>
      <c r="B46" s="48" t="s">
        <v>71</v>
      </c>
      <c r="C46" s="64" t="s">
        <v>50</v>
      </c>
      <c r="D46" s="60" t="s">
        <v>55</v>
      </c>
      <c r="E46" s="119">
        <v>5</v>
      </c>
      <c r="F46" s="98">
        <v>1</v>
      </c>
      <c r="G46" s="97">
        <f t="shared" si="0"/>
        <v>4</v>
      </c>
      <c r="H46" s="99">
        <v>2</v>
      </c>
      <c r="I46" s="250"/>
      <c r="J46" s="251"/>
      <c r="K46" s="1"/>
      <c r="L46" s="1"/>
      <c r="M46" s="1"/>
      <c r="N46" s="1"/>
      <c r="O46" s="10"/>
    </row>
    <row r="47" spans="1:22" ht="31.8" customHeight="1" x14ac:dyDescent="0.3">
      <c r="A47" s="1"/>
      <c r="B47" s="177" t="s">
        <v>71</v>
      </c>
      <c r="C47" s="178" t="s">
        <v>57</v>
      </c>
      <c r="D47" s="198" t="s">
        <v>58</v>
      </c>
      <c r="E47" s="180">
        <v>4</v>
      </c>
      <c r="F47" s="181">
        <v>3</v>
      </c>
      <c r="G47" s="205">
        <f t="shared" si="0"/>
        <v>1</v>
      </c>
      <c r="H47" s="206">
        <v>2</v>
      </c>
      <c r="I47" s="250"/>
      <c r="J47" s="251"/>
      <c r="K47" s="1"/>
      <c r="L47" s="1"/>
      <c r="M47" s="1"/>
      <c r="N47" s="1"/>
      <c r="O47" s="10"/>
    </row>
    <row r="48" spans="1:22" ht="31.8" customHeight="1" x14ac:dyDescent="0.3">
      <c r="A48" s="1"/>
      <c r="B48" s="178" t="s">
        <v>31</v>
      </c>
      <c r="C48" s="178" t="s">
        <v>70</v>
      </c>
      <c r="D48" s="182" t="s">
        <v>60</v>
      </c>
      <c r="E48" s="180">
        <v>4</v>
      </c>
      <c r="F48" s="181">
        <v>3</v>
      </c>
      <c r="G48" s="205">
        <f t="shared" si="0"/>
        <v>1</v>
      </c>
      <c r="H48" s="206">
        <v>2</v>
      </c>
      <c r="I48" s="250"/>
      <c r="J48" s="251"/>
      <c r="K48" s="1"/>
      <c r="L48" s="1"/>
      <c r="M48" s="1"/>
      <c r="N48" s="1"/>
      <c r="O48" s="10"/>
    </row>
    <row r="49" spans="1:15" ht="31.8" customHeight="1" x14ac:dyDescent="0.3">
      <c r="A49" s="1"/>
      <c r="B49" s="178" t="s">
        <v>31</v>
      </c>
      <c r="C49" s="178" t="s">
        <v>70</v>
      </c>
      <c r="D49" s="182" t="s">
        <v>62</v>
      </c>
      <c r="E49" s="180">
        <v>4</v>
      </c>
      <c r="F49" s="181">
        <v>3</v>
      </c>
      <c r="G49" s="205">
        <f t="shared" si="0"/>
        <v>1</v>
      </c>
      <c r="H49" s="206">
        <v>2</v>
      </c>
      <c r="I49" s="250"/>
      <c r="J49" s="251"/>
      <c r="K49" s="1"/>
      <c r="L49" s="1"/>
      <c r="M49" s="1"/>
      <c r="N49" s="1"/>
      <c r="O49" s="10"/>
    </row>
    <row r="50" spans="1:15" ht="31.8" customHeight="1" x14ac:dyDescent="0.3">
      <c r="A50" s="1"/>
      <c r="B50" s="178" t="s">
        <v>31</v>
      </c>
      <c r="C50" s="178" t="s">
        <v>70</v>
      </c>
      <c r="D50" s="182" t="s">
        <v>64</v>
      </c>
      <c r="E50" s="180">
        <v>5</v>
      </c>
      <c r="F50" s="181">
        <v>1</v>
      </c>
      <c r="G50" s="205">
        <f t="shared" si="0"/>
        <v>4</v>
      </c>
      <c r="H50" s="206">
        <v>2</v>
      </c>
      <c r="I50" s="250"/>
      <c r="J50" s="251"/>
      <c r="K50" s="1"/>
      <c r="L50" s="1"/>
      <c r="M50" s="1"/>
      <c r="N50" s="1"/>
      <c r="O50" s="10"/>
    </row>
    <row r="51" spans="1:15" ht="31.8" customHeight="1" x14ac:dyDescent="0.3">
      <c r="A51" s="1"/>
      <c r="B51" s="178" t="s">
        <v>31</v>
      </c>
      <c r="C51" s="178" t="s">
        <v>70</v>
      </c>
      <c r="D51" s="182" t="s">
        <v>66</v>
      </c>
      <c r="E51" s="180">
        <v>5</v>
      </c>
      <c r="F51" s="181">
        <v>4</v>
      </c>
      <c r="G51" s="205">
        <f t="shared" si="0"/>
        <v>1</v>
      </c>
      <c r="H51" s="206">
        <v>2</v>
      </c>
      <c r="I51" s="250"/>
      <c r="J51" s="251"/>
      <c r="K51" s="1"/>
      <c r="L51" s="1"/>
      <c r="M51" s="1"/>
      <c r="N51" s="1"/>
      <c r="O51" s="10"/>
    </row>
    <row r="52" spans="1:15" ht="31.8" customHeight="1" thickBot="1" x14ac:dyDescent="0.35">
      <c r="A52" s="1"/>
      <c r="B52" s="178" t="s">
        <v>31</v>
      </c>
      <c r="C52" s="178" t="s">
        <v>70</v>
      </c>
      <c r="D52" s="182" t="s">
        <v>68</v>
      </c>
      <c r="E52" s="183">
        <v>4</v>
      </c>
      <c r="F52" s="184">
        <v>2</v>
      </c>
      <c r="G52" s="207">
        <f t="shared" si="0"/>
        <v>2</v>
      </c>
      <c r="H52" s="208">
        <v>2</v>
      </c>
      <c r="I52" s="268"/>
      <c r="J52" s="269"/>
      <c r="K52" s="1"/>
      <c r="L52" s="1"/>
      <c r="M52" s="1"/>
      <c r="N52" s="1"/>
      <c r="O52" s="10"/>
    </row>
    <row r="53" spans="1:15" ht="31.8" customHeight="1" thickBot="1" x14ac:dyDescent="0.35">
      <c r="A53" s="1"/>
      <c r="B53" s="264" t="s">
        <v>177</v>
      </c>
      <c r="C53" s="265"/>
      <c r="D53" s="265"/>
      <c r="E53" s="130">
        <f>AVERAGE(E27:E52)</f>
        <v>4.2307692307692308</v>
      </c>
      <c r="F53" s="131">
        <f>AVERAGE(F27:F52)</f>
        <v>2.0769230769230771</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69:D69"/>
    <mergeCell ref="B63:C63"/>
    <mergeCell ref="B64:C64"/>
    <mergeCell ref="B65:C65"/>
    <mergeCell ref="B66:C66"/>
    <mergeCell ref="B67:C67"/>
    <mergeCell ref="B68:C68"/>
    <mergeCell ref="I58:I60"/>
    <mergeCell ref="J58:J60"/>
    <mergeCell ref="B59:D59"/>
    <mergeCell ref="B60:D60"/>
    <mergeCell ref="B61:C61"/>
    <mergeCell ref="G58:G60"/>
    <mergeCell ref="H58:H60"/>
    <mergeCell ref="B62:C62"/>
    <mergeCell ref="B57:D57"/>
    <mergeCell ref="B58:D58"/>
    <mergeCell ref="E58:E60"/>
    <mergeCell ref="F58:F60"/>
    <mergeCell ref="B53:D53"/>
    <mergeCell ref="I53:J53"/>
    <mergeCell ref="I42:J42"/>
    <mergeCell ref="I43:J43"/>
    <mergeCell ref="I44:J44"/>
    <mergeCell ref="I45:J45"/>
    <mergeCell ref="I46:J46"/>
    <mergeCell ref="I47:J47"/>
    <mergeCell ref="I48:J48"/>
    <mergeCell ref="I49:J49"/>
    <mergeCell ref="I50:J50"/>
    <mergeCell ref="I51:J51"/>
    <mergeCell ref="I52:J52"/>
    <mergeCell ref="I41:J41"/>
    <mergeCell ref="I30:J30"/>
    <mergeCell ref="I31:J31"/>
    <mergeCell ref="I32:J32"/>
    <mergeCell ref="I33:J33"/>
    <mergeCell ref="I34:J34"/>
    <mergeCell ref="I35:J35"/>
    <mergeCell ref="I36:J36"/>
    <mergeCell ref="I37:J37"/>
    <mergeCell ref="I38:J38"/>
    <mergeCell ref="I39:J39"/>
    <mergeCell ref="I40:J40"/>
    <mergeCell ref="I29:J29"/>
    <mergeCell ref="B20:E20"/>
    <mergeCell ref="F20:J20"/>
    <mergeCell ref="B22:E22"/>
    <mergeCell ref="F22:J22"/>
    <mergeCell ref="B23:E23"/>
    <mergeCell ref="F23:J23"/>
    <mergeCell ref="B25:D25"/>
    <mergeCell ref="I25:J25"/>
    <mergeCell ref="I26:J26"/>
    <mergeCell ref="I27:J27"/>
    <mergeCell ref="I28:J28"/>
    <mergeCell ref="B16:E16"/>
    <mergeCell ref="F16:J16"/>
    <mergeCell ref="B17:E17"/>
    <mergeCell ref="F17:J17"/>
    <mergeCell ref="B19:E19"/>
    <mergeCell ref="F19:J19"/>
    <mergeCell ref="B12:E12"/>
    <mergeCell ref="F12:J12"/>
    <mergeCell ref="C2:H2"/>
    <mergeCell ref="C5:F5"/>
    <mergeCell ref="I5:J5"/>
    <mergeCell ref="B11:E11"/>
    <mergeCell ref="F11:J11"/>
  </mergeCells>
  <dataValidations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6"/>
  <sheetViews>
    <sheetView topLeftCell="B7" workbookViewId="0">
      <selection activeCell="D39" sqref="D39:G39"/>
    </sheetView>
  </sheetViews>
  <sheetFormatPr defaultRowHeight="13.8" x14ac:dyDescent="0.3"/>
  <cols>
    <col min="1" max="1" width="2.109375" style="31" customWidth="1"/>
    <col min="2" max="2" width="8.77734375" style="31" customWidth="1"/>
    <col min="3" max="3" width="14.33203125" style="31" customWidth="1"/>
    <col min="4" max="4" width="40.5546875" style="31" customWidth="1"/>
    <col min="5" max="5" width="3.109375" style="31" customWidth="1"/>
    <col min="6" max="6" width="8" style="31" customWidth="1"/>
    <col min="7" max="7" width="4.33203125" style="31" customWidth="1"/>
    <col min="8" max="8" width="16.109375" style="31" customWidth="1"/>
    <col min="9" max="9" width="13.33203125" style="31" customWidth="1"/>
    <col min="10" max="10" width="13" style="31" customWidth="1"/>
    <col min="11" max="11" width="9.44140625" style="31" customWidth="1"/>
    <col min="12" max="12" width="12.88671875" style="31" customWidth="1"/>
    <col min="13" max="13" width="11.33203125" style="31" customWidth="1"/>
    <col min="14" max="14" width="16.44140625" style="31" customWidth="1"/>
    <col min="15" max="16384" width="8.88671875" style="31"/>
  </cols>
  <sheetData>
    <row r="1" spans="1:16" s="28" customFormat="1" ht="17.399999999999999" x14ac:dyDescent="0.3">
      <c r="A1" s="16"/>
      <c r="B1" s="21"/>
      <c r="C1" s="21"/>
      <c r="D1" s="22"/>
      <c r="E1" s="15"/>
      <c r="F1" s="15"/>
      <c r="G1" s="15"/>
      <c r="H1" s="23"/>
      <c r="I1" s="23"/>
      <c r="J1" s="23"/>
      <c r="K1" s="24"/>
      <c r="L1" s="25"/>
      <c r="M1" s="25"/>
      <c r="N1" s="25"/>
      <c r="O1" s="26"/>
      <c r="P1" s="27"/>
    </row>
    <row r="2" spans="1:16" ht="35.4" x14ac:dyDescent="0.3">
      <c r="A2" s="16"/>
      <c r="B2" s="16"/>
      <c r="C2" s="16"/>
      <c r="D2" s="235" t="s">
        <v>18</v>
      </c>
      <c r="E2" s="235"/>
      <c r="F2" s="235"/>
      <c r="G2" s="235"/>
      <c r="H2" s="235"/>
      <c r="I2" s="235"/>
      <c r="J2" s="235"/>
      <c r="K2" s="16"/>
      <c r="L2" s="16"/>
      <c r="M2" s="16"/>
      <c r="N2" s="16"/>
      <c r="O2" s="29"/>
      <c r="P2" s="30"/>
    </row>
    <row r="3" spans="1:16" x14ac:dyDescent="0.3">
      <c r="A3" s="16"/>
      <c r="B3" s="16"/>
      <c r="C3" s="16"/>
      <c r="D3" s="32"/>
      <c r="E3" s="16"/>
      <c r="F3" s="16"/>
      <c r="G3" s="16"/>
      <c r="H3" s="16"/>
      <c r="I3" s="16"/>
      <c r="J3" s="16"/>
      <c r="K3" s="16"/>
      <c r="L3" s="16"/>
      <c r="M3" s="16"/>
      <c r="N3" s="16"/>
      <c r="O3" s="29"/>
      <c r="P3" s="30"/>
    </row>
    <row r="4" spans="1:16" ht="22.8" customHeight="1" x14ac:dyDescent="0.3">
      <c r="A4" s="16"/>
      <c r="B4" s="16"/>
      <c r="C4" s="16"/>
      <c r="D4" s="32"/>
      <c r="E4" s="16"/>
      <c r="F4" s="16"/>
      <c r="G4" s="16"/>
      <c r="H4" s="33"/>
      <c r="I4" s="16"/>
      <c r="J4" s="16"/>
      <c r="K4" s="16"/>
      <c r="L4" s="16"/>
      <c r="M4" s="16"/>
      <c r="N4" s="16"/>
      <c r="O4" s="29"/>
      <c r="P4" s="30"/>
    </row>
    <row r="5" spans="1:16" s="20" customFormat="1" ht="22.8" customHeight="1" x14ac:dyDescent="0.3">
      <c r="A5" s="16"/>
      <c r="B5" s="17"/>
      <c r="C5" s="38" t="s">
        <v>19</v>
      </c>
      <c r="D5" s="237" t="s">
        <v>15</v>
      </c>
      <c r="E5" s="237"/>
      <c r="F5" s="237"/>
      <c r="G5" s="16"/>
      <c r="H5" s="39" t="s">
        <v>16</v>
      </c>
      <c r="I5" s="237" t="s">
        <v>14</v>
      </c>
      <c r="J5" s="237"/>
      <c r="K5" s="18"/>
      <c r="L5" s="18"/>
      <c r="M5" s="18"/>
      <c r="N5" s="18"/>
      <c r="O5" s="19"/>
    </row>
    <row r="6" spans="1:16" x14ac:dyDescent="0.3">
      <c r="A6" s="16"/>
      <c r="B6" s="16"/>
      <c r="C6" s="16"/>
      <c r="D6" s="16"/>
      <c r="E6" s="16"/>
      <c r="F6" s="16"/>
      <c r="G6" s="16"/>
      <c r="H6" s="16"/>
      <c r="I6" s="16"/>
      <c r="J6" s="16"/>
      <c r="K6" s="16"/>
      <c r="L6" s="16"/>
      <c r="M6" s="16"/>
      <c r="N6" s="16"/>
      <c r="O6" s="16"/>
    </row>
    <row r="7" spans="1:16" ht="23.4" customHeight="1" x14ac:dyDescent="0.3">
      <c r="A7" s="16"/>
      <c r="B7" s="16"/>
      <c r="C7" s="39" t="s">
        <v>21</v>
      </c>
      <c r="D7" s="67" t="s">
        <v>14</v>
      </c>
      <c r="E7" s="16"/>
      <c r="F7" s="16"/>
      <c r="G7" s="16"/>
      <c r="H7" s="39" t="s">
        <v>20</v>
      </c>
      <c r="I7" s="67">
        <v>1</v>
      </c>
      <c r="J7" s="16"/>
      <c r="K7" s="16"/>
      <c r="L7" s="16"/>
      <c r="M7" s="16"/>
      <c r="N7" s="16"/>
      <c r="O7" s="16"/>
    </row>
    <row r="8" spans="1:16" x14ac:dyDescent="0.3">
      <c r="A8" s="16"/>
      <c r="B8" s="16"/>
      <c r="C8" s="16"/>
      <c r="D8" s="16"/>
      <c r="E8" s="16"/>
      <c r="F8" s="16"/>
      <c r="G8" s="16"/>
      <c r="H8" s="16"/>
      <c r="I8" s="16"/>
      <c r="J8" s="16"/>
      <c r="K8" s="16"/>
      <c r="L8" s="16"/>
      <c r="M8" s="16"/>
      <c r="N8" s="16"/>
      <c r="O8" s="16"/>
    </row>
    <row r="9" spans="1:16" ht="21" customHeight="1" x14ac:dyDescent="0.3">
      <c r="A9" s="16"/>
      <c r="B9" s="16"/>
      <c r="C9" s="39" t="s">
        <v>93</v>
      </c>
      <c r="D9" s="74">
        <v>42005</v>
      </c>
      <c r="E9" s="16"/>
      <c r="F9" s="16"/>
      <c r="G9" s="16"/>
      <c r="H9" s="39" t="s">
        <v>94</v>
      </c>
      <c r="I9" s="67">
        <v>2015</v>
      </c>
      <c r="J9" s="16"/>
      <c r="K9" s="16"/>
      <c r="L9" s="16"/>
      <c r="M9" s="16"/>
      <c r="N9" s="16"/>
      <c r="O9" s="16"/>
    </row>
    <row r="10" spans="1:16" x14ac:dyDescent="0.3">
      <c r="A10" s="16"/>
      <c r="B10" s="16"/>
      <c r="C10" s="16"/>
      <c r="D10" s="16"/>
      <c r="E10" s="16"/>
      <c r="F10" s="16"/>
      <c r="G10" s="16"/>
      <c r="H10" s="16"/>
      <c r="I10" s="16"/>
      <c r="J10" s="16"/>
      <c r="K10" s="16"/>
      <c r="L10" s="16"/>
      <c r="M10" s="16"/>
      <c r="N10" s="16"/>
      <c r="O10" s="16"/>
    </row>
    <row r="11" spans="1:16" ht="25.8" customHeight="1" x14ac:dyDescent="0.3">
      <c r="A11" s="16"/>
      <c r="B11" s="16"/>
      <c r="C11" s="35" t="s">
        <v>72</v>
      </c>
      <c r="D11" s="35"/>
      <c r="E11" s="35"/>
      <c r="F11" s="36"/>
      <c r="G11" s="36"/>
      <c r="H11" s="36"/>
      <c r="I11" s="36"/>
      <c r="J11" s="36"/>
      <c r="K11" s="36"/>
      <c r="L11" s="16"/>
      <c r="M11" s="16"/>
      <c r="N11" s="16"/>
      <c r="O11" s="16"/>
    </row>
    <row r="12" spans="1:16" ht="57" customHeight="1" x14ac:dyDescent="0.3">
      <c r="A12" s="16"/>
      <c r="B12" s="16"/>
      <c r="C12" s="302"/>
      <c r="D12" s="302"/>
      <c r="E12" s="302"/>
      <c r="F12" s="302"/>
      <c r="G12" s="302"/>
      <c r="H12" s="302"/>
      <c r="I12" s="302"/>
      <c r="J12" s="302"/>
      <c r="K12" s="302"/>
      <c r="L12" s="16"/>
      <c r="M12" s="16"/>
      <c r="N12" s="16"/>
      <c r="O12" s="16"/>
    </row>
    <row r="13" spans="1:16" ht="27.6" customHeight="1" x14ac:dyDescent="0.3">
      <c r="A13" s="16"/>
      <c r="B13" s="16"/>
      <c r="C13" s="303" t="s">
        <v>96</v>
      </c>
      <c r="D13" s="303"/>
      <c r="E13" s="303"/>
      <c r="F13" s="303"/>
      <c r="G13" s="303"/>
      <c r="H13" s="303"/>
      <c r="I13" s="303"/>
      <c r="J13" s="303"/>
      <c r="K13" s="303"/>
      <c r="L13" s="16"/>
      <c r="M13" s="16"/>
      <c r="N13" s="16"/>
      <c r="O13" s="16"/>
    </row>
    <row r="14" spans="1:16" ht="24.6" customHeight="1" x14ac:dyDescent="0.3">
      <c r="A14" s="16"/>
      <c r="B14" s="16"/>
      <c r="C14" s="34" t="s">
        <v>73</v>
      </c>
      <c r="D14" s="34"/>
      <c r="E14" s="34"/>
      <c r="F14" s="70" t="s">
        <v>79</v>
      </c>
      <c r="G14" s="16"/>
      <c r="H14" s="16"/>
      <c r="I14" s="16"/>
      <c r="J14" s="16"/>
      <c r="K14" s="16"/>
      <c r="L14" s="16"/>
      <c r="M14" s="16"/>
      <c r="N14" s="16"/>
      <c r="O14" s="16"/>
    </row>
    <row r="15" spans="1:16" ht="45" customHeight="1" x14ac:dyDescent="0.3">
      <c r="A15" s="16"/>
      <c r="B15" s="16"/>
      <c r="C15" s="299" t="s">
        <v>80</v>
      </c>
      <c r="D15" s="300"/>
      <c r="E15" s="301"/>
      <c r="F15" s="69" t="s">
        <v>74</v>
      </c>
      <c r="G15" s="16"/>
      <c r="H15" s="299" t="s">
        <v>76</v>
      </c>
      <c r="I15" s="300"/>
      <c r="J15" s="301"/>
      <c r="K15" s="68" t="s">
        <v>75</v>
      </c>
      <c r="L15" s="16"/>
      <c r="M15" s="16"/>
      <c r="N15" s="16"/>
      <c r="O15" s="16"/>
    </row>
    <row r="16" spans="1:16" x14ac:dyDescent="0.3">
      <c r="A16" s="16"/>
      <c r="B16" s="16"/>
      <c r="C16" s="16"/>
      <c r="D16" s="37"/>
      <c r="E16" s="37"/>
      <c r="F16" s="37"/>
      <c r="G16" s="37"/>
      <c r="H16" s="37"/>
      <c r="I16" s="37"/>
      <c r="J16" s="37"/>
      <c r="K16" s="37"/>
      <c r="L16" s="16"/>
      <c r="M16" s="16"/>
      <c r="N16" s="16"/>
      <c r="O16" s="16"/>
    </row>
    <row r="17" spans="1:15" ht="42.6" customHeight="1" x14ac:dyDescent="0.3">
      <c r="A17" s="16"/>
      <c r="B17" s="16"/>
      <c r="C17" s="304" t="s">
        <v>77</v>
      </c>
      <c r="D17" s="304"/>
      <c r="E17" s="304"/>
      <c r="F17" s="68" t="s">
        <v>75</v>
      </c>
      <c r="G17" s="16"/>
      <c r="H17" s="299" t="s">
        <v>78</v>
      </c>
      <c r="I17" s="300"/>
      <c r="J17" s="301"/>
      <c r="K17" s="68" t="s">
        <v>75</v>
      </c>
      <c r="L17" s="16"/>
      <c r="M17" s="16"/>
      <c r="N17" s="16"/>
      <c r="O17" s="16"/>
    </row>
    <row r="18" spans="1:15" x14ac:dyDescent="0.3">
      <c r="A18" s="16"/>
      <c r="B18" s="16"/>
      <c r="C18" s="16"/>
      <c r="D18" s="16"/>
      <c r="E18" s="16"/>
      <c r="F18" s="16"/>
      <c r="G18" s="16"/>
      <c r="H18" s="16"/>
      <c r="I18" s="16"/>
      <c r="J18" s="16"/>
      <c r="K18" s="16"/>
      <c r="L18" s="16"/>
      <c r="M18" s="16"/>
      <c r="N18" s="16"/>
      <c r="O18" s="16"/>
    </row>
    <row r="19" spans="1:15" ht="24.6" customHeight="1" x14ac:dyDescent="0.3">
      <c r="A19" s="16"/>
      <c r="B19" s="16"/>
      <c r="C19" s="34" t="s">
        <v>81</v>
      </c>
      <c r="D19" s="34"/>
      <c r="E19" s="34"/>
      <c r="F19" s="70" t="s">
        <v>79</v>
      </c>
      <c r="G19" s="16"/>
      <c r="H19" s="16"/>
      <c r="I19" s="16"/>
      <c r="J19" s="16"/>
      <c r="K19" s="16"/>
      <c r="L19" s="16"/>
      <c r="M19" s="16"/>
      <c r="N19" s="16"/>
      <c r="O19" s="16"/>
    </row>
    <row r="20" spans="1:15" ht="37.799999999999997" customHeight="1" x14ac:dyDescent="0.3">
      <c r="A20" s="16"/>
      <c r="B20" s="16"/>
      <c r="C20" s="304" t="s">
        <v>83</v>
      </c>
      <c r="D20" s="304"/>
      <c r="E20" s="304"/>
      <c r="F20" s="69" t="s">
        <v>74</v>
      </c>
      <c r="G20" s="16"/>
      <c r="H20" s="299" t="s">
        <v>82</v>
      </c>
      <c r="I20" s="300"/>
      <c r="J20" s="301"/>
      <c r="K20" s="68" t="s">
        <v>75</v>
      </c>
      <c r="L20" s="16"/>
      <c r="M20" s="16"/>
      <c r="N20" s="16"/>
      <c r="O20" s="16"/>
    </row>
    <row r="21" spans="1:15" x14ac:dyDescent="0.3">
      <c r="A21" s="16"/>
      <c r="B21" s="16"/>
      <c r="C21" s="16"/>
      <c r="D21" s="37"/>
      <c r="E21" s="37"/>
      <c r="F21" s="37"/>
      <c r="G21" s="37"/>
      <c r="H21" s="37"/>
      <c r="I21" s="37"/>
      <c r="J21" s="37"/>
      <c r="K21" s="37"/>
      <c r="L21" s="16"/>
      <c r="M21" s="16"/>
      <c r="N21" s="16"/>
      <c r="O21" s="16"/>
    </row>
    <row r="22" spans="1:15" ht="36" customHeight="1" x14ac:dyDescent="0.3">
      <c r="A22" s="16"/>
      <c r="B22" s="16"/>
      <c r="C22" s="304" t="s">
        <v>85</v>
      </c>
      <c r="D22" s="304"/>
      <c r="E22" s="304"/>
      <c r="F22" s="68" t="s">
        <v>75</v>
      </c>
      <c r="G22" s="16"/>
      <c r="H22" s="299" t="s">
        <v>84</v>
      </c>
      <c r="I22" s="300"/>
      <c r="J22" s="301"/>
      <c r="K22" s="68" t="s">
        <v>75</v>
      </c>
      <c r="L22" s="16"/>
      <c r="M22" s="16"/>
      <c r="N22" s="16"/>
      <c r="O22" s="16"/>
    </row>
    <row r="23" spans="1:15" x14ac:dyDescent="0.3">
      <c r="A23" s="16"/>
      <c r="B23" s="16"/>
      <c r="C23" s="16"/>
      <c r="D23" s="16"/>
      <c r="E23" s="16"/>
      <c r="F23" s="16"/>
      <c r="G23" s="16"/>
      <c r="H23" s="16"/>
      <c r="I23" s="16"/>
      <c r="J23" s="16"/>
      <c r="K23" s="16"/>
      <c r="L23" s="16"/>
      <c r="M23" s="16"/>
      <c r="N23" s="16"/>
      <c r="O23" s="16"/>
    </row>
    <row r="24" spans="1:15" ht="23.4" customHeight="1" x14ac:dyDescent="0.3">
      <c r="A24" s="16"/>
      <c r="B24" s="16"/>
      <c r="C24" s="35" t="s">
        <v>87</v>
      </c>
      <c r="D24" s="35"/>
      <c r="E24" s="35"/>
      <c r="F24" s="35"/>
      <c r="G24" s="35"/>
      <c r="H24" s="35"/>
      <c r="I24" s="36"/>
      <c r="J24" s="36"/>
      <c r="K24" s="36"/>
      <c r="L24" s="16"/>
      <c r="M24" s="16"/>
      <c r="N24" s="16"/>
      <c r="O24" s="16"/>
    </row>
    <row r="25" spans="1:15" ht="70.8" customHeight="1" x14ac:dyDescent="0.3">
      <c r="A25" s="16"/>
      <c r="B25" s="16"/>
      <c r="C25" s="302"/>
      <c r="D25" s="302"/>
      <c r="E25" s="302"/>
      <c r="F25" s="302"/>
      <c r="G25" s="302"/>
      <c r="H25" s="302"/>
      <c r="I25" s="302"/>
      <c r="J25" s="302"/>
      <c r="K25" s="302"/>
      <c r="L25" s="16"/>
      <c r="M25" s="16"/>
      <c r="N25" s="16"/>
      <c r="O25" s="16"/>
    </row>
    <row r="26" spans="1:15" x14ac:dyDescent="0.3">
      <c r="A26" s="16"/>
      <c r="B26" s="16"/>
      <c r="C26" s="16"/>
      <c r="D26" s="16"/>
      <c r="E26" s="16"/>
      <c r="F26" s="16"/>
      <c r="G26" s="16"/>
      <c r="H26" s="16"/>
      <c r="I26" s="16"/>
      <c r="J26" s="16"/>
      <c r="K26" s="16"/>
      <c r="L26" s="16"/>
      <c r="M26" s="16"/>
      <c r="N26" s="16"/>
      <c r="O26" s="16"/>
    </row>
    <row r="27" spans="1:15" ht="25.8" customHeight="1" x14ac:dyDescent="0.3">
      <c r="A27" s="16"/>
      <c r="B27" s="16"/>
      <c r="C27" s="35" t="s">
        <v>95</v>
      </c>
      <c r="D27" s="35"/>
      <c r="E27" s="35"/>
      <c r="F27" s="35"/>
      <c r="G27" s="35"/>
      <c r="H27" s="35"/>
      <c r="I27" s="36"/>
      <c r="J27" s="36"/>
      <c r="K27" s="36"/>
      <c r="L27" s="16"/>
      <c r="M27" s="16"/>
      <c r="N27" s="16"/>
      <c r="O27" s="16"/>
    </row>
    <row r="28" spans="1:15" ht="61.8" customHeight="1" x14ac:dyDescent="0.3">
      <c r="A28" s="16"/>
      <c r="B28" s="16"/>
      <c r="C28" s="302"/>
      <c r="D28" s="302"/>
      <c r="E28" s="302"/>
      <c r="F28" s="302"/>
      <c r="G28" s="302"/>
      <c r="H28" s="302"/>
      <c r="I28" s="302"/>
      <c r="J28" s="302"/>
      <c r="K28" s="302"/>
      <c r="L28" s="16"/>
      <c r="M28" s="16"/>
      <c r="N28" s="16"/>
      <c r="O28" s="16"/>
    </row>
    <row r="29" spans="1:15" ht="14.4" customHeight="1" x14ac:dyDescent="0.3">
      <c r="A29" s="16"/>
      <c r="B29" s="16"/>
      <c r="C29" s="16"/>
      <c r="D29" s="16"/>
      <c r="E29" s="16"/>
      <c r="F29" s="16"/>
      <c r="G29" s="16"/>
      <c r="H29" s="16"/>
      <c r="I29" s="16"/>
      <c r="J29" s="16"/>
      <c r="K29" s="16"/>
      <c r="L29" s="16"/>
      <c r="M29" s="16"/>
      <c r="N29" s="16"/>
      <c r="O29" s="16"/>
    </row>
    <row r="30" spans="1:15" ht="18.600000000000001" customHeight="1" x14ac:dyDescent="0.3">
      <c r="A30" s="16"/>
      <c r="B30" s="16"/>
      <c r="C30" s="34" t="s">
        <v>86</v>
      </c>
      <c r="D30" s="34"/>
      <c r="E30" s="34"/>
      <c r="F30" s="34"/>
      <c r="G30" s="34"/>
      <c r="H30" s="41" t="s">
        <v>22</v>
      </c>
      <c r="I30" s="16"/>
      <c r="J30" s="34" t="s">
        <v>88</v>
      </c>
      <c r="K30" s="34"/>
      <c r="L30" s="34"/>
      <c r="M30" s="34"/>
      <c r="N30" s="34"/>
      <c r="O30" s="16"/>
    </row>
    <row r="31" spans="1:15" s="73" customFormat="1" ht="96" customHeight="1" x14ac:dyDescent="0.3">
      <c r="A31" s="36"/>
      <c r="B31" s="36"/>
      <c r="C31" s="40">
        <v>1</v>
      </c>
      <c r="D31" s="305" t="s">
        <v>98</v>
      </c>
      <c r="E31" s="306"/>
      <c r="F31" s="306"/>
      <c r="G31" s="307"/>
      <c r="H31" s="42">
        <v>1</v>
      </c>
      <c r="I31" s="36"/>
      <c r="J31" s="308">
        <v>5</v>
      </c>
      <c r="K31" s="309" t="s">
        <v>97</v>
      </c>
      <c r="L31" s="310"/>
      <c r="M31" s="310"/>
      <c r="N31" s="311"/>
      <c r="O31" s="36"/>
    </row>
    <row r="32" spans="1:15" s="73" customFormat="1" ht="52.2" customHeight="1" x14ac:dyDescent="0.3">
      <c r="A32" s="36"/>
      <c r="B32" s="36"/>
      <c r="C32" s="40">
        <v>2</v>
      </c>
      <c r="D32" s="305" t="s">
        <v>99</v>
      </c>
      <c r="E32" s="306"/>
      <c r="F32" s="306"/>
      <c r="G32" s="307"/>
      <c r="H32" s="42">
        <v>1</v>
      </c>
      <c r="I32" s="36"/>
      <c r="J32" s="308"/>
      <c r="K32" s="312"/>
      <c r="L32" s="313"/>
      <c r="M32" s="313"/>
      <c r="N32" s="314"/>
      <c r="O32" s="36"/>
    </row>
    <row r="33" spans="1:15" s="73" customFormat="1" ht="68.400000000000006" customHeight="1" x14ac:dyDescent="0.3">
      <c r="A33" s="36"/>
      <c r="B33" s="36"/>
      <c r="C33" s="40">
        <v>3</v>
      </c>
      <c r="D33" s="305" t="s">
        <v>100</v>
      </c>
      <c r="E33" s="306"/>
      <c r="F33" s="306"/>
      <c r="G33" s="307"/>
      <c r="H33" s="42">
        <v>1</v>
      </c>
      <c r="I33" s="36"/>
      <c r="J33" s="308">
        <v>4</v>
      </c>
      <c r="K33" s="304" t="s">
        <v>23</v>
      </c>
      <c r="L33" s="304"/>
      <c r="M33" s="304"/>
      <c r="N33" s="304"/>
      <c r="O33" s="36"/>
    </row>
    <row r="34" spans="1:15" s="73" customFormat="1" ht="62.4" customHeight="1" x14ac:dyDescent="0.3">
      <c r="A34" s="36"/>
      <c r="B34" s="36"/>
      <c r="C34" s="40">
        <v>4</v>
      </c>
      <c r="D34" s="305" t="s">
        <v>101</v>
      </c>
      <c r="E34" s="306"/>
      <c r="F34" s="306"/>
      <c r="G34" s="307"/>
      <c r="H34" s="42">
        <v>1</v>
      </c>
      <c r="I34" s="36"/>
      <c r="J34" s="308"/>
      <c r="K34" s="304"/>
      <c r="L34" s="304"/>
      <c r="M34" s="304"/>
      <c r="N34" s="304"/>
      <c r="O34" s="36"/>
    </row>
    <row r="35" spans="1:15" s="73" customFormat="1" ht="78" customHeight="1" x14ac:dyDescent="0.3">
      <c r="A35" s="36"/>
      <c r="B35" s="36"/>
      <c r="C35" s="40">
        <v>5</v>
      </c>
      <c r="D35" s="305" t="s">
        <v>34</v>
      </c>
      <c r="E35" s="306"/>
      <c r="F35" s="306"/>
      <c r="G35" s="307"/>
      <c r="H35" s="42">
        <v>1</v>
      </c>
      <c r="I35" s="36"/>
      <c r="J35" s="308">
        <v>3</v>
      </c>
      <c r="K35" s="304" t="s">
        <v>24</v>
      </c>
      <c r="L35" s="304"/>
      <c r="M35" s="304"/>
      <c r="N35" s="304"/>
      <c r="O35" s="36"/>
    </row>
    <row r="36" spans="1:15" s="73" customFormat="1" ht="76.2" customHeight="1" x14ac:dyDescent="0.3">
      <c r="A36" s="36"/>
      <c r="B36" s="36"/>
      <c r="C36" s="40">
        <v>6</v>
      </c>
      <c r="D36" s="305" t="s">
        <v>35</v>
      </c>
      <c r="E36" s="306"/>
      <c r="F36" s="306"/>
      <c r="G36" s="307"/>
      <c r="H36" s="42">
        <v>1</v>
      </c>
      <c r="I36" s="36"/>
      <c r="J36" s="308"/>
      <c r="K36" s="304"/>
      <c r="L36" s="304"/>
      <c r="M36" s="304"/>
      <c r="N36" s="304"/>
      <c r="O36" s="36"/>
    </row>
    <row r="37" spans="1:15" s="73" customFormat="1" ht="74.400000000000006" customHeight="1" x14ac:dyDescent="0.3">
      <c r="A37" s="36"/>
      <c r="B37" s="36"/>
      <c r="C37" s="40">
        <v>7</v>
      </c>
      <c r="D37" s="305" t="s">
        <v>36</v>
      </c>
      <c r="E37" s="306"/>
      <c r="F37" s="306"/>
      <c r="G37" s="307"/>
      <c r="H37" s="42">
        <v>1</v>
      </c>
      <c r="I37" s="36"/>
      <c r="J37" s="308">
        <v>2</v>
      </c>
      <c r="K37" s="304" t="s">
        <v>25</v>
      </c>
      <c r="L37" s="304"/>
      <c r="M37" s="304"/>
      <c r="N37" s="304"/>
      <c r="O37" s="36"/>
    </row>
    <row r="38" spans="1:15" s="73" customFormat="1" ht="78" customHeight="1" x14ac:dyDescent="0.3">
      <c r="A38" s="36"/>
      <c r="B38" s="36"/>
      <c r="C38" s="40">
        <v>8</v>
      </c>
      <c r="D38" s="305" t="s">
        <v>123</v>
      </c>
      <c r="E38" s="306"/>
      <c r="F38" s="306"/>
      <c r="G38" s="307"/>
      <c r="H38" s="42">
        <v>1</v>
      </c>
      <c r="I38" s="36"/>
      <c r="J38" s="308"/>
      <c r="K38" s="304"/>
      <c r="L38" s="304"/>
      <c r="M38" s="304"/>
      <c r="N38" s="304"/>
      <c r="O38" s="36"/>
    </row>
    <row r="39" spans="1:15" s="73" customFormat="1" ht="91.2" customHeight="1" x14ac:dyDescent="0.3">
      <c r="A39" s="36"/>
      <c r="B39" s="36"/>
      <c r="C39" s="40">
        <v>9</v>
      </c>
      <c r="D39" s="305" t="s">
        <v>105</v>
      </c>
      <c r="E39" s="306"/>
      <c r="F39" s="306"/>
      <c r="G39" s="307"/>
      <c r="H39" s="42">
        <v>1</v>
      </c>
      <c r="I39" s="36"/>
      <c r="J39" s="308">
        <v>1</v>
      </c>
      <c r="K39" s="304" t="s">
        <v>26</v>
      </c>
      <c r="L39" s="304"/>
      <c r="M39" s="304"/>
      <c r="N39" s="304"/>
      <c r="O39" s="36"/>
    </row>
    <row r="40" spans="1:15" s="73" customFormat="1" ht="72.599999999999994" customHeight="1" x14ac:dyDescent="0.3">
      <c r="A40" s="36"/>
      <c r="B40" s="36"/>
      <c r="C40" s="40">
        <v>10</v>
      </c>
      <c r="D40" s="305" t="s">
        <v>104</v>
      </c>
      <c r="E40" s="306"/>
      <c r="F40" s="306"/>
      <c r="G40" s="307"/>
      <c r="H40" s="42">
        <v>1</v>
      </c>
      <c r="I40" s="36"/>
      <c r="J40" s="308"/>
      <c r="K40" s="304"/>
      <c r="L40" s="304"/>
      <c r="M40" s="304"/>
      <c r="N40" s="304"/>
      <c r="O40" s="36"/>
    </row>
    <row r="41" spans="1:15" s="73" customFormat="1" ht="52.2" customHeight="1" x14ac:dyDescent="0.3">
      <c r="A41" s="36"/>
      <c r="B41" s="36"/>
      <c r="C41" s="40">
        <v>11</v>
      </c>
      <c r="D41" s="305" t="s">
        <v>40</v>
      </c>
      <c r="E41" s="306"/>
      <c r="F41" s="306"/>
      <c r="G41" s="307"/>
      <c r="H41" s="42">
        <v>1</v>
      </c>
      <c r="I41" s="36"/>
      <c r="J41" s="36"/>
      <c r="K41" s="36"/>
      <c r="L41" s="36"/>
      <c r="M41" s="36"/>
      <c r="N41" s="36"/>
      <c r="O41" s="36"/>
    </row>
    <row r="42" spans="1:15" s="73" customFormat="1" ht="52.2" customHeight="1" x14ac:dyDescent="0.3">
      <c r="A42" s="36"/>
      <c r="B42" s="36"/>
      <c r="C42" s="40">
        <v>12</v>
      </c>
      <c r="D42" s="305" t="s">
        <v>41</v>
      </c>
      <c r="E42" s="306"/>
      <c r="F42" s="306"/>
      <c r="G42" s="307"/>
      <c r="H42" s="42">
        <v>1</v>
      </c>
      <c r="I42" s="36"/>
      <c r="J42" s="36"/>
      <c r="K42" s="36"/>
      <c r="L42" s="36"/>
      <c r="M42" s="36"/>
      <c r="N42" s="36"/>
      <c r="O42" s="36"/>
    </row>
    <row r="43" spans="1:15" s="73" customFormat="1" ht="52.2" customHeight="1" x14ac:dyDescent="0.3">
      <c r="A43" s="36"/>
      <c r="B43" s="36"/>
      <c r="C43" s="40">
        <v>13</v>
      </c>
      <c r="D43" s="305" t="s">
        <v>43</v>
      </c>
      <c r="E43" s="306"/>
      <c r="F43" s="306"/>
      <c r="G43" s="307"/>
      <c r="H43" s="42">
        <v>1</v>
      </c>
      <c r="I43" s="36"/>
      <c r="J43" s="36"/>
      <c r="K43" s="36"/>
      <c r="L43" s="36"/>
      <c r="M43" s="36"/>
      <c r="N43" s="36"/>
      <c r="O43" s="36"/>
    </row>
    <row r="44" spans="1:15" s="73" customFormat="1" ht="79.2" customHeight="1" x14ac:dyDescent="0.3">
      <c r="A44" s="36"/>
      <c r="B44" s="36"/>
      <c r="C44" s="40">
        <v>14</v>
      </c>
      <c r="D44" s="305" t="s">
        <v>44</v>
      </c>
      <c r="E44" s="306"/>
      <c r="F44" s="306"/>
      <c r="G44" s="307"/>
      <c r="H44" s="42">
        <v>1</v>
      </c>
      <c r="I44" s="36"/>
      <c r="J44" s="36"/>
      <c r="K44" s="36"/>
      <c r="L44" s="36"/>
      <c r="M44" s="36"/>
      <c r="N44" s="36"/>
      <c r="O44" s="36"/>
    </row>
    <row r="45" spans="1:15" s="73" customFormat="1" ht="51.6" customHeight="1" x14ac:dyDescent="0.3">
      <c r="A45" s="36"/>
      <c r="B45" s="36"/>
      <c r="C45" s="40">
        <v>15</v>
      </c>
      <c r="D45" s="305" t="s">
        <v>46</v>
      </c>
      <c r="E45" s="306"/>
      <c r="F45" s="306"/>
      <c r="G45" s="307"/>
      <c r="H45" s="42">
        <v>1</v>
      </c>
      <c r="I45" s="36"/>
      <c r="J45" s="36"/>
      <c r="K45" s="36"/>
      <c r="L45" s="36"/>
      <c r="M45" s="36"/>
      <c r="N45" s="36"/>
      <c r="O45" s="36"/>
    </row>
    <row r="46" spans="1:15" s="73" customFormat="1" ht="147" customHeight="1" x14ac:dyDescent="0.3">
      <c r="A46" s="36"/>
      <c r="B46" s="36"/>
      <c r="C46" s="40">
        <v>16</v>
      </c>
      <c r="D46" s="305" t="s">
        <v>102</v>
      </c>
      <c r="E46" s="306"/>
      <c r="F46" s="306"/>
      <c r="G46" s="307"/>
      <c r="H46" s="42">
        <v>1</v>
      </c>
      <c r="I46" s="36"/>
      <c r="J46" s="36"/>
      <c r="K46" s="36"/>
      <c r="L46" s="36"/>
      <c r="M46" s="36"/>
      <c r="N46" s="36"/>
      <c r="O46" s="36"/>
    </row>
    <row r="47" spans="1:15" s="73" customFormat="1" ht="82.8" customHeight="1" x14ac:dyDescent="0.3">
      <c r="A47" s="36"/>
      <c r="B47" s="36"/>
      <c r="C47" s="40">
        <v>17</v>
      </c>
      <c r="D47" s="305" t="s">
        <v>49</v>
      </c>
      <c r="E47" s="306"/>
      <c r="F47" s="306"/>
      <c r="G47" s="307"/>
      <c r="H47" s="42">
        <v>1</v>
      </c>
      <c r="I47" s="36"/>
      <c r="J47" s="36"/>
      <c r="K47" s="36"/>
      <c r="L47" s="36"/>
      <c r="M47" s="36"/>
      <c r="N47" s="36"/>
      <c r="O47" s="36"/>
    </row>
    <row r="48" spans="1:15" s="73" customFormat="1" ht="64.2" customHeight="1" x14ac:dyDescent="0.3">
      <c r="A48" s="36"/>
      <c r="B48" s="36"/>
      <c r="C48" s="40">
        <v>18</v>
      </c>
      <c r="D48" s="305" t="s">
        <v>52</v>
      </c>
      <c r="E48" s="306"/>
      <c r="F48" s="306"/>
      <c r="G48" s="307"/>
      <c r="H48" s="42">
        <v>1</v>
      </c>
      <c r="I48" s="36"/>
      <c r="J48" s="36"/>
      <c r="K48" s="36"/>
      <c r="L48" s="36"/>
      <c r="M48" s="36"/>
      <c r="N48" s="36"/>
      <c r="O48" s="36"/>
    </row>
    <row r="49" spans="1:15" s="73" customFormat="1" ht="66.599999999999994" customHeight="1" x14ac:dyDescent="0.3">
      <c r="A49" s="36"/>
      <c r="B49" s="36"/>
      <c r="C49" s="40">
        <v>19</v>
      </c>
      <c r="D49" s="305" t="s">
        <v>54</v>
      </c>
      <c r="E49" s="306"/>
      <c r="F49" s="306"/>
      <c r="G49" s="307"/>
      <c r="H49" s="42">
        <v>1</v>
      </c>
      <c r="I49" s="36"/>
      <c r="J49" s="36"/>
      <c r="K49" s="36"/>
      <c r="L49" s="36"/>
      <c r="M49" s="36"/>
      <c r="N49" s="36"/>
      <c r="O49" s="36"/>
    </row>
    <row r="50" spans="1:15" s="73" customFormat="1" ht="132.6" customHeight="1" x14ac:dyDescent="0.3">
      <c r="A50" s="36"/>
      <c r="B50" s="36"/>
      <c r="C50" s="40">
        <v>20</v>
      </c>
      <c r="D50" s="305" t="s">
        <v>56</v>
      </c>
      <c r="E50" s="306"/>
      <c r="F50" s="306"/>
      <c r="G50" s="307"/>
      <c r="H50" s="42">
        <v>1</v>
      </c>
      <c r="I50" s="36"/>
      <c r="J50" s="36"/>
      <c r="K50" s="36"/>
      <c r="L50" s="36"/>
      <c r="M50" s="36"/>
      <c r="N50" s="36"/>
      <c r="O50" s="36"/>
    </row>
    <row r="51" spans="1:15" s="73" customFormat="1" ht="49.2" customHeight="1" x14ac:dyDescent="0.3">
      <c r="A51" s="36"/>
      <c r="B51" s="36"/>
      <c r="C51" s="40">
        <v>21</v>
      </c>
      <c r="D51" s="305" t="s">
        <v>59</v>
      </c>
      <c r="E51" s="306"/>
      <c r="F51" s="306"/>
      <c r="G51" s="307"/>
      <c r="H51" s="42">
        <v>1</v>
      </c>
      <c r="I51" s="36"/>
      <c r="J51" s="36"/>
      <c r="K51" s="36"/>
      <c r="L51" s="36"/>
      <c r="M51" s="36"/>
      <c r="N51" s="36"/>
      <c r="O51" s="36"/>
    </row>
    <row r="52" spans="1:15" s="73" customFormat="1" ht="46.2" customHeight="1" x14ac:dyDescent="0.3">
      <c r="A52" s="36"/>
      <c r="B52" s="36"/>
      <c r="C52" s="40">
        <v>22</v>
      </c>
      <c r="D52" s="305" t="s">
        <v>61</v>
      </c>
      <c r="E52" s="306"/>
      <c r="F52" s="306"/>
      <c r="G52" s="307"/>
      <c r="H52" s="42">
        <v>1</v>
      </c>
      <c r="I52" s="36"/>
      <c r="J52" s="36"/>
      <c r="K52" s="36"/>
      <c r="L52" s="36"/>
      <c r="M52" s="36"/>
      <c r="N52" s="36"/>
      <c r="O52" s="36"/>
    </row>
    <row r="53" spans="1:15" s="73" customFormat="1" ht="52.2" customHeight="1" x14ac:dyDescent="0.3">
      <c r="A53" s="36"/>
      <c r="B53" s="36"/>
      <c r="C53" s="40">
        <v>23</v>
      </c>
      <c r="D53" s="305" t="s">
        <v>63</v>
      </c>
      <c r="E53" s="306"/>
      <c r="F53" s="306"/>
      <c r="G53" s="307"/>
      <c r="H53" s="42">
        <v>1</v>
      </c>
      <c r="I53" s="36"/>
      <c r="J53" s="36"/>
      <c r="K53" s="36"/>
      <c r="L53" s="36"/>
      <c r="M53" s="36"/>
      <c r="N53" s="36"/>
      <c r="O53" s="36"/>
    </row>
    <row r="54" spans="1:15" s="73" customFormat="1" ht="52.2" customHeight="1" x14ac:dyDescent="0.3">
      <c r="A54" s="36"/>
      <c r="B54" s="36"/>
      <c r="C54" s="40">
        <v>24</v>
      </c>
      <c r="D54" s="305" t="s">
        <v>65</v>
      </c>
      <c r="E54" s="306"/>
      <c r="F54" s="306"/>
      <c r="G54" s="307"/>
      <c r="H54" s="42">
        <v>1</v>
      </c>
      <c r="I54" s="36"/>
      <c r="J54" s="36"/>
      <c r="K54" s="36"/>
      <c r="L54" s="36"/>
      <c r="M54" s="36"/>
      <c r="N54" s="36"/>
      <c r="O54" s="36"/>
    </row>
    <row r="55" spans="1:15" s="73" customFormat="1" ht="52.2" customHeight="1" x14ac:dyDescent="0.3">
      <c r="A55" s="36"/>
      <c r="B55" s="36"/>
      <c r="C55" s="40">
        <v>25</v>
      </c>
      <c r="D55" s="305" t="s">
        <v>67</v>
      </c>
      <c r="E55" s="306"/>
      <c r="F55" s="306"/>
      <c r="G55" s="307"/>
      <c r="H55" s="42">
        <v>1</v>
      </c>
      <c r="I55" s="36"/>
      <c r="J55" s="36"/>
      <c r="K55" s="36"/>
      <c r="L55" s="36"/>
      <c r="M55" s="36"/>
      <c r="N55" s="36"/>
      <c r="O55" s="36"/>
    </row>
    <row r="56" spans="1:15" s="73" customFormat="1" ht="52.2" customHeight="1" x14ac:dyDescent="0.3">
      <c r="A56" s="36"/>
      <c r="B56" s="36"/>
      <c r="C56" s="40">
        <v>26</v>
      </c>
      <c r="D56" s="305" t="s">
        <v>69</v>
      </c>
      <c r="E56" s="306"/>
      <c r="F56" s="306"/>
      <c r="G56" s="307"/>
      <c r="H56" s="42">
        <v>1</v>
      </c>
      <c r="I56" s="36"/>
      <c r="J56" s="36"/>
      <c r="K56" s="36"/>
      <c r="L56" s="36"/>
      <c r="M56" s="36"/>
      <c r="N56" s="36"/>
      <c r="O56" s="36"/>
    </row>
    <row r="57" spans="1:15" ht="23.4" customHeight="1" x14ac:dyDescent="0.3">
      <c r="A57" s="16"/>
      <c r="B57" s="16"/>
      <c r="C57" s="16"/>
      <c r="D57" s="16"/>
      <c r="E57" s="16"/>
      <c r="F57" s="16"/>
      <c r="G57" s="16"/>
      <c r="H57" s="16"/>
      <c r="I57" s="16"/>
      <c r="J57" s="16"/>
      <c r="K57" s="16"/>
      <c r="L57" s="16"/>
      <c r="M57" s="16"/>
      <c r="N57" s="16"/>
      <c r="O57" s="16"/>
    </row>
    <row r="58" spans="1:15" ht="24.6" customHeight="1" x14ac:dyDescent="0.3">
      <c r="A58" s="16"/>
      <c r="B58" s="16"/>
      <c r="C58" s="16" t="s">
        <v>89</v>
      </c>
      <c r="D58" s="16"/>
      <c r="E58" s="16"/>
      <c r="F58" s="70"/>
      <c r="G58" s="16"/>
      <c r="H58" s="16"/>
      <c r="I58" s="16"/>
      <c r="J58" s="16"/>
      <c r="K58" s="16"/>
      <c r="L58" s="16"/>
      <c r="M58" s="16"/>
      <c r="N58" s="16"/>
      <c r="O58" s="16"/>
    </row>
    <row r="59" spans="1:15" ht="23.4" customHeight="1" x14ac:dyDescent="0.3">
      <c r="A59" s="16"/>
      <c r="B59" s="16"/>
      <c r="C59" s="35" t="s">
        <v>91</v>
      </c>
      <c r="D59" s="35"/>
      <c r="E59" s="35"/>
      <c r="F59" s="35"/>
      <c r="G59" s="35"/>
      <c r="H59" s="35"/>
      <c r="I59" s="36"/>
      <c r="J59" s="36"/>
      <c r="K59" s="36"/>
      <c r="L59" s="16"/>
      <c r="M59" s="16"/>
      <c r="N59" s="16"/>
      <c r="O59" s="16"/>
    </row>
    <row r="60" spans="1:15" ht="78" customHeight="1" x14ac:dyDescent="0.3">
      <c r="A60" s="16"/>
      <c r="B60" s="16"/>
      <c r="C60" s="302"/>
      <c r="D60" s="302"/>
      <c r="E60" s="302"/>
      <c r="F60" s="302"/>
      <c r="G60" s="302"/>
      <c r="H60" s="302"/>
      <c r="I60" s="302"/>
      <c r="J60" s="302"/>
      <c r="K60" s="302"/>
      <c r="L60" s="16"/>
      <c r="M60" s="16"/>
      <c r="N60" s="16"/>
      <c r="O60" s="16"/>
    </row>
    <row r="61" spans="1:15" x14ac:dyDescent="0.3">
      <c r="A61" s="16"/>
      <c r="B61" s="16"/>
      <c r="C61" s="16"/>
      <c r="D61" s="16"/>
      <c r="E61" s="16"/>
      <c r="F61" s="16"/>
      <c r="G61" s="16"/>
      <c r="H61" s="16"/>
      <c r="I61" s="16"/>
      <c r="J61" s="16"/>
      <c r="K61" s="16"/>
      <c r="L61" s="16"/>
      <c r="M61" s="16"/>
      <c r="N61" s="16"/>
      <c r="O61" s="16"/>
    </row>
    <row r="62" spans="1:15" ht="25.8" customHeight="1" x14ac:dyDescent="0.3">
      <c r="A62" s="16"/>
      <c r="B62" s="16"/>
      <c r="C62" s="35" t="s">
        <v>90</v>
      </c>
      <c r="D62" s="35"/>
      <c r="E62" s="35"/>
      <c r="F62" s="35"/>
      <c r="G62" s="35"/>
      <c r="H62" s="35"/>
      <c r="I62" s="36"/>
      <c r="J62" s="36"/>
      <c r="K62" s="36"/>
      <c r="L62" s="16"/>
      <c r="M62" s="16"/>
      <c r="N62" s="16"/>
      <c r="O62" s="16"/>
    </row>
    <row r="63" spans="1:15" ht="61.8" customHeight="1" x14ac:dyDescent="0.3">
      <c r="A63" s="16"/>
      <c r="B63" s="16"/>
      <c r="C63" s="302"/>
      <c r="D63" s="302"/>
      <c r="E63" s="302"/>
      <c r="F63" s="302"/>
      <c r="G63" s="302"/>
      <c r="H63" s="302"/>
      <c r="I63" s="302"/>
      <c r="J63" s="302"/>
      <c r="K63" s="302"/>
      <c r="L63" s="16"/>
      <c r="M63" s="16"/>
      <c r="N63" s="16"/>
      <c r="O63" s="16"/>
    </row>
    <row r="64" spans="1:15" x14ac:dyDescent="0.3">
      <c r="A64" s="16"/>
      <c r="B64" s="16"/>
      <c r="C64" s="16"/>
      <c r="D64" s="16"/>
      <c r="E64" s="16"/>
      <c r="F64" s="16"/>
      <c r="G64" s="16"/>
      <c r="H64" s="16"/>
      <c r="I64" s="16"/>
      <c r="J64" s="16"/>
      <c r="K64" s="16"/>
      <c r="L64" s="16"/>
      <c r="M64" s="16"/>
      <c r="N64" s="16"/>
      <c r="O64" s="16"/>
    </row>
    <row r="65" spans="1:15" ht="22.2" customHeight="1" x14ac:dyDescent="0.3">
      <c r="A65" s="16"/>
      <c r="B65" s="16"/>
      <c r="C65" s="35" t="s">
        <v>92</v>
      </c>
      <c r="D65" s="35"/>
      <c r="E65" s="35"/>
      <c r="F65" s="35"/>
      <c r="G65" s="35"/>
      <c r="H65" s="35"/>
      <c r="I65" s="36"/>
      <c r="J65" s="36"/>
      <c r="K65" s="36"/>
      <c r="L65" s="16"/>
      <c r="M65" s="16"/>
      <c r="N65" s="16"/>
      <c r="O65" s="16"/>
    </row>
    <row r="66" spans="1:15" ht="84" customHeight="1" x14ac:dyDescent="0.3">
      <c r="A66" s="16"/>
      <c r="B66" s="16"/>
      <c r="C66" s="302"/>
      <c r="D66" s="302"/>
      <c r="E66" s="302"/>
      <c r="F66" s="302"/>
      <c r="G66" s="302"/>
      <c r="H66" s="302"/>
      <c r="I66" s="302"/>
      <c r="J66" s="302"/>
      <c r="K66" s="302"/>
      <c r="L66" s="16"/>
      <c r="M66" s="16"/>
      <c r="N66" s="16"/>
      <c r="O66" s="16"/>
    </row>
    <row r="67" spans="1:15" x14ac:dyDescent="0.3">
      <c r="A67" s="16"/>
      <c r="B67" s="16"/>
      <c r="C67" s="16"/>
      <c r="D67" s="16"/>
      <c r="E67" s="16"/>
      <c r="F67" s="16"/>
      <c r="G67" s="16"/>
      <c r="H67" s="16"/>
      <c r="I67" s="16"/>
      <c r="J67" s="16"/>
      <c r="K67" s="16"/>
      <c r="L67" s="16"/>
      <c r="M67" s="16"/>
      <c r="N67" s="16"/>
      <c r="O67" s="16"/>
    </row>
    <row r="68" spans="1:15" x14ac:dyDescent="0.3">
      <c r="A68" s="16"/>
      <c r="B68" s="16"/>
      <c r="C68" s="16"/>
      <c r="D68" s="16"/>
      <c r="E68" s="16"/>
      <c r="F68" s="16"/>
      <c r="G68" s="16"/>
      <c r="H68" s="16"/>
      <c r="I68" s="16"/>
      <c r="J68" s="16"/>
      <c r="K68" s="16"/>
      <c r="L68" s="16"/>
      <c r="M68" s="16"/>
      <c r="N68" s="16"/>
      <c r="O68" s="16"/>
    </row>
    <row r="69" spans="1:15" x14ac:dyDescent="0.3">
      <c r="A69" s="16"/>
      <c r="B69" s="16"/>
      <c r="C69" s="16"/>
      <c r="D69" s="16"/>
      <c r="E69" s="16"/>
      <c r="F69" s="16"/>
      <c r="G69" s="16"/>
      <c r="H69" s="16"/>
      <c r="I69" s="16"/>
      <c r="J69" s="16"/>
      <c r="K69" s="16"/>
      <c r="L69" s="16"/>
      <c r="M69" s="16"/>
      <c r="N69" s="16"/>
      <c r="O69" s="16"/>
    </row>
    <row r="70" spans="1:15" x14ac:dyDescent="0.3">
      <c r="A70" s="16"/>
      <c r="B70" s="16"/>
      <c r="C70" s="16"/>
      <c r="D70" s="16"/>
      <c r="E70" s="16"/>
      <c r="F70" s="16"/>
      <c r="G70" s="16"/>
      <c r="H70" s="16"/>
      <c r="I70" s="16"/>
      <c r="J70" s="16"/>
      <c r="K70" s="16"/>
      <c r="L70" s="16"/>
      <c r="M70" s="16"/>
      <c r="N70" s="16"/>
      <c r="O70" s="16"/>
    </row>
    <row r="71" spans="1:15" x14ac:dyDescent="0.3">
      <c r="A71" s="16"/>
      <c r="B71" s="16"/>
      <c r="C71" s="16"/>
      <c r="D71" s="16"/>
      <c r="E71" s="16"/>
      <c r="F71" s="16"/>
      <c r="G71" s="16"/>
      <c r="H71" s="16"/>
      <c r="I71" s="16"/>
      <c r="J71" s="16"/>
      <c r="K71" s="16"/>
      <c r="L71" s="16"/>
      <c r="M71" s="16"/>
      <c r="N71" s="16"/>
      <c r="O71" s="16"/>
    </row>
    <row r="72" spans="1:15" x14ac:dyDescent="0.3">
      <c r="A72" s="16"/>
      <c r="B72" s="16"/>
      <c r="C72" s="16"/>
      <c r="D72" s="16"/>
      <c r="E72" s="16"/>
      <c r="F72" s="16"/>
      <c r="G72" s="16"/>
      <c r="H72" s="16"/>
      <c r="I72" s="16"/>
      <c r="J72" s="16"/>
      <c r="K72" s="16"/>
      <c r="L72" s="16"/>
      <c r="M72" s="16"/>
      <c r="N72" s="16"/>
      <c r="O72" s="16"/>
    </row>
    <row r="73" spans="1:15" x14ac:dyDescent="0.3">
      <c r="A73" s="16"/>
      <c r="B73" s="16"/>
      <c r="C73" s="16"/>
      <c r="D73" s="16"/>
      <c r="E73" s="16"/>
      <c r="F73" s="16"/>
      <c r="G73" s="16"/>
      <c r="H73" s="16"/>
      <c r="I73" s="16"/>
      <c r="J73" s="16"/>
      <c r="K73" s="16"/>
      <c r="L73" s="16"/>
      <c r="M73" s="16"/>
      <c r="N73" s="16"/>
      <c r="O73" s="16"/>
    </row>
    <row r="74" spans="1:15" x14ac:dyDescent="0.3">
      <c r="A74" s="16"/>
      <c r="B74" s="16"/>
      <c r="C74" s="16"/>
      <c r="D74" s="16"/>
      <c r="E74" s="16"/>
      <c r="F74" s="16"/>
      <c r="G74" s="16"/>
      <c r="H74" s="16"/>
      <c r="I74" s="16"/>
      <c r="J74" s="16"/>
      <c r="K74" s="16"/>
      <c r="L74" s="16"/>
      <c r="M74" s="16"/>
      <c r="N74" s="16"/>
      <c r="O74" s="16"/>
    </row>
    <row r="75" spans="1:15" x14ac:dyDescent="0.3">
      <c r="A75" s="16"/>
      <c r="B75" s="16"/>
      <c r="C75" s="16"/>
      <c r="D75" s="16"/>
      <c r="E75" s="16"/>
      <c r="F75" s="16"/>
      <c r="G75" s="16"/>
      <c r="H75" s="16"/>
      <c r="I75" s="16"/>
      <c r="J75" s="16"/>
      <c r="K75" s="16"/>
      <c r="L75" s="16"/>
      <c r="M75" s="16"/>
      <c r="N75" s="16"/>
      <c r="O75" s="16"/>
    </row>
    <row r="76" spans="1:15" x14ac:dyDescent="0.3">
      <c r="A76" s="16"/>
      <c r="B76" s="16"/>
      <c r="C76" s="16"/>
      <c r="D76" s="16"/>
      <c r="E76" s="16"/>
      <c r="F76" s="16"/>
      <c r="G76" s="16"/>
      <c r="H76" s="16"/>
      <c r="I76" s="16"/>
      <c r="J76" s="16"/>
      <c r="K76" s="16"/>
      <c r="L76" s="16"/>
      <c r="M76" s="16"/>
      <c r="N76" s="16"/>
      <c r="O76" s="16"/>
    </row>
  </sheetData>
  <mergeCells count="54">
    <mergeCell ref="C66:K66"/>
    <mergeCell ref="D51:G51"/>
    <mergeCell ref="D52:G52"/>
    <mergeCell ref="D53:G53"/>
    <mergeCell ref="D54:G54"/>
    <mergeCell ref="D55:G55"/>
    <mergeCell ref="D56:G56"/>
    <mergeCell ref="C63:K63"/>
    <mergeCell ref="D47:G47"/>
    <mergeCell ref="D48:G48"/>
    <mergeCell ref="D49:G49"/>
    <mergeCell ref="D50:G50"/>
    <mergeCell ref="C60:K60"/>
    <mergeCell ref="D46:G46"/>
    <mergeCell ref="D37:G37"/>
    <mergeCell ref="J37:J38"/>
    <mergeCell ref="K37:N38"/>
    <mergeCell ref="D38:G38"/>
    <mergeCell ref="D39:G39"/>
    <mergeCell ref="J39:J40"/>
    <mergeCell ref="K39:N40"/>
    <mergeCell ref="D40:G40"/>
    <mergeCell ref="D41:G41"/>
    <mergeCell ref="D42:G42"/>
    <mergeCell ref="D43:G43"/>
    <mergeCell ref="D44:G44"/>
    <mergeCell ref="D45:G45"/>
    <mergeCell ref="D33:G33"/>
    <mergeCell ref="J33:J34"/>
    <mergeCell ref="K33:N34"/>
    <mergeCell ref="D34:G34"/>
    <mergeCell ref="D35:G35"/>
    <mergeCell ref="J35:J36"/>
    <mergeCell ref="K35:N36"/>
    <mergeCell ref="D36:G36"/>
    <mergeCell ref="C25:K25"/>
    <mergeCell ref="C28:K28"/>
    <mergeCell ref="D31:G31"/>
    <mergeCell ref="J31:J32"/>
    <mergeCell ref="K31:N32"/>
    <mergeCell ref="D32:G32"/>
    <mergeCell ref="C17:E17"/>
    <mergeCell ref="H17:J17"/>
    <mergeCell ref="C20:E20"/>
    <mergeCell ref="H20:J20"/>
    <mergeCell ref="C22:E22"/>
    <mergeCell ref="H22:J22"/>
    <mergeCell ref="C15:E15"/>
    <mergeCell ref="H15:J15"/>
    <mergeCell ref="D2:J2"/>
    <mergeCell ref="D5:F5"/>
    <mergeCell ref="I5:J5"/>
    <mergeCell ref="C12:K12"/>
    <mergeCell ref="C13:K13"/>
  </mergeCells>
  <dataValidations count="1">
    <dataValidation type="list" allowBlank="1" showInputMessage="1" showErrorMessage="1" errorTitle="Error" error="Score should integer between 1 and 5" promptTitle="Score" prompt="Select 1-5 based on scoring table descriptions" sqref="H31:H56">
      <formula1>"1,2,3,4,5"</formula1>
    </dataValidation>
  </dataValidations>
  <pageMargins left="0.7" right="0.7" top="0.75" bottom="0.75" header="0.3" footer="0.3"/>
  <pageSetup orientation="portrait" horizontalDpi="200" verticalDpi="20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99"/>
  <sheetViews>
    <sheetView zoomScale="110" zoomScaleNormal="110" workbookViewId="0">
      <selection activeCell="I7" sqref="I7"/>
    </sheetView>
  </sheetViews>
  <sheetFormatPr defaultRowHeight="14.4" x14ac:dyDescent="0.3"/>
  <cols>
    <col min="1" max="1" width="5.21875" customWidth="1"/>
    <col min="2" max="2" width="17" customWidth="1"/>
    <col min="3" max="3" width="16.33203125" customWidth="1"/>
    <col min="4" max="4" width="35.6640625" customWidth="1"/>
    <col min="5" max="5" width="20.88671875" customWidth="1"/>
    <col min="6" max="6" width="19.109375" customWidth="1"/>
    <col min="7" max="7" width="18.44140625" customWidth="1"/>
    <col min="8" max="8" width="19.109375" customWidth="1"/>
    <col min="9" max="9" width="17.109375" customWidth="1"/>
    <col min="10" max="10" width="16.109375" customWidth="1"/>
    <col min="11" max="11" width="12.88671875" customWidth="1"/>
    <col min="12" max="12" width="11.33203125" customWidth="1"/>
    <col min="13" max="13" width="15.109375" customWidth="1"/>
  </cols>
  <sheetData>
    <row r="1" spans="1:15" s="9" customFormat="1" ht="17.399999999999999" x14ac:dyDescent="0.3">
      <c r="A1" s="2"/>
      <c r="B1" s="2"/>
      <c r="C1" s="3"/>
      <c r="D1" s="3"/>
      <c r="E1" s="4"/>
      <c r="F1" s="4"/>
      <c r="G1" s="5"/>
      <c r="H1" s="5"/>
      <c r="I1" s="5"/>
      <c r="J1" s="6"/>
      <c r="K1" s="7"/>
      <c r="L1" s="7"/>
      <c r="M1" s="7"/>
      <c r="N1" s="8"/>
      <c r="O1" s="10"/>
    </row>
    <row r="2" spans="1:15" ht="36.6" customHeight="1" x14ac:dyDescent="0.3">
      <c r="A2" s="1"/>
      <c r="B2" s="1"/>
      <c r="C2" s="235" t="s">
        <v>128</v>
      </c>
      <c r="D2" s="235"/>
      <c r="E2" s="235"/>
      <c r="F2" s="235"/>
      <c r="G2" s="235"/>
      <c r="H2" s="235"/>
      <c r="I2" s="94" t="s">
        <v>129</v>
      </c>
      <c r="J2" s="101" t="s">
        <v>147</v>
      </c>
      <c r="K2" s="1"/>
      <c r="L2" s="1"/>
      <c r="M2" s="1"/>
      <c r="N2" s="10"/>
      <c r="O2" s="10"/>
    </row>
    <row r="3" spans="1:15" ht="24.6" customHeight="1" x14ac:dyDescent="0.3">
      <c r="A3" s="1"/>
      <c r="B3" s="1"/>
      <c r="C3" s="13"/>
      <c r="D3" s="13"/>
      <c r="E3" s="14"/>
      <c r="F3" s="14"/>
      <c r="G3" s="1"/>
      <c r="H3" s="1"/>
      <c r="I3" s="1"/>
      <c r="J3" s="1"/>
      <c r="K3" s="1"/>
      <c r="L3" s="1"/>
      <c r="M3" s="1"/>
      <c r="N3" s="10"/>
      <c r="O3" s="10"/>
    </row>
    <row r="4" spans="1:15" x14ac:dyDescent="0.3">
      <c r="A4" s="1"/>
      <c r="B4" s="1"/>
      <c r="C4" s="11"/>
      <c r="D4" s="11"/>
      <c r="E4" s="1"/>
      <c r="F4" s="1"/>
      <c r="G4" s="1"/>
      <c r="H4" s="1"/>
      <c r="I4" s="1"/>
      <c r="J4" s="1"/>
      <c r="K4" s="1"/>
      <c r="L4" s="1"/>
      <c r="M4" s="1"/>
      <c r="N4" s="10"/>
      <c r="O4" s="10"/>
    </row>
    <row r="5" spans="1:15" s="12" customFormat="1" ht="22.8" customHeight="1" x14ac:dyDescent="0.25">
      <c r="A5" s="17"/>
      <c r="B5" s="38" t="s">
        <v>19</v>
      </c>
      <c r="C5" s="236" t="s">
        <v>13</v>
      </c>
      <c r="D5" s="237"/>
      <c r="E5" s="237"/>
      <c r="F5" s="237"/>
      <c r="G5" s="16"/>
      <c r="H5" s="39" t="s">
        <v>16</v>
      </c>
      <c r="I5" s="237" t="s">
        <v>179</v>
      </c>
      <c r="J5" s="237"/>
      <c r="K5" s="18"/>
      <c r="L5" s="18"/>
      <c r="M5" s="18"/>
      <c r="N5" s="18"/>
      <c r="O5" s="19"/>
    </row>
    <row r="6" spans="1:15" x14ac:dyDescent="0.3">
      <c r="A6" s="16"/>
      <c r="B6" s="16"/>
      <c r="C6" s="16"/>
      <c r="D6" s="16"/>
      <c r="E6" s="16"/>
      <c r="F6" s="16"/>
      <c r="G6" s="16"/>
      <c r="H6" s="16"/>
      <c r="I6" s="16"/>
      <c r="J6" s="16"/>
      <c r="K6" s="16"/>
      <c r="L6" s="16"/>
      <c r="M6" s="16"/>
      <c r="N6" s="16"/>
      <c r="O6" s="16"/>
    </row>
    <row r="7" spans="1:15" x14ac:dyDescent="0.3">
      <c r="A7" s="16"/>
      <c r="B7" s="39" t="s">
        <v>21</v>
      </c>
      <c r="C7" s="83" t="s">
        <v>179</v>
      </c>
      <c r="D7" s="16"/>
      <c r="E7" s="39" t="s">
        <v>20</v>
      </c>
      <c r="F7" s="83">
        <v>1</v>
      </c>
      <c r="G7" s="16"/>
      <c r="H7" s="39" t="s">
        <v>130</v>
      </c>
      <c r="I7" s="83">
        <v>1</v>
      </c>
      <c r="J7" s="16"/>
      <c r="K7" s="16"/>
      <c r="L7" s="16"/>
      <c r="M7" s="16"/>
      <c r="N7" s="16"/>
      <c r="O7" s="16"/>
    </row>
    <row r="8" spans="1:15" x14ac:dyDescent="0.3">
      <c r="A8" s="16"/>
      <c r="B8" s="16"/>
      <c r="C8" s="16"/>
      <c r="D8" s="16"/>
      <c r="E8" s="16"/>
      <c r="F8" s="16"/>
      <c r="G8" s="16"/>
      <c r="H8" s="16"/>
      <c r="I8" s="16"/>
      <c r="J8" s="16"/>
      <c r="K8" s="16"/>
      <c r="L8" s="16"/>
      <c r="M8" s="16"/>
      <c r="N8" s="16"/>
      <c r="O8" s="16"/>
    </row>
    <row r="9" spans="1:15" x14ac:dyDescent="0.3">
      <c r="A9" s="16"/>
      <c r="B9" s="39" t="s">
        <v>9</v>
      </c>
      <c r="C9" s="83" t="s">
        <v>1</v>
      </c>
      <c r="D9" s="16"/>
      <c r="E9" s="39" t="s">
        <v>122</v>
      </c>
      <c r="F9" s="74">
        <v>42005</v>
      </c>
      <c r="G9" s="16"/>
      <c r="H9" s="39" t="s">
        <v>94</v>
      </c>
      <c r="I9" s="83">
        <v>2015</v>
      </c>
      <c r="J9" s="16"/>
      <c r="K9" s="16"/>
      <c r="L9" s="16"/>
      <c r="M9" s="16"/>
      <c r="N9" s="16"/>
      <c r="O9" s="16"/>
    </row>
    <row r="10" spans="1:15" ht="15" thickBot="1" x14ac:dyDescent="0.35">
      <c r="A10" s="16"/>
      <c r="B10" s="16"/>
      <c r="C10" s="16"/>
      <c r="D10" s="16"/>
      <c r="E10" s="16"/>
      <c r="F10" s="16"/>
      <c r="G10" s="16"/>
      <c r="H10" s="16"/>
      <c r="I10" s="16"/>
      <c r="J10" s="16"/>
      <c r="K10" s="16"/>
      <c r="L10" s="16"/>
      <c r="M10" s="16"/>
      <c r="N10" s="16"/>
      <c r="O10" s="16"/>
    </row>
    <row r="11" spans="1:15" ht="21.6" customHeight="1" x14ac:dyDescent="0.3">
      <c r="A11" s="16"/>
      <c r="B11" s="238" t="s">
        <v>138</v>
      </c>
      <c r="C11" s="239"/>
      <c r="D11" s="239"/>
      <c r="E11" s="240"/>
      <c r="F11" s="238" t="s">
        <v>139</v>
      </c>
      <c r="G11" s="239"/>
      <c r="H11" s="239"/>
      <c r="I11" s="239"/>
      <c r="J11" s="240"/>
      <c r="K11" s="16"/>
      <c r="L11" s="16"/>
      <c r="M11" s="16"/>
      <c r="N11" s="16"/>
      <c r="O11" s="16"/>
    </row>
    <row r="12" spans="1:15" ht="85.2" customHeight="1" thickBot="1" x14ac:dyDescent="0.35">
      <c r="A12" s="16"/>
      <c r="B12" s="231"/>
      <c r="C12" s="232"/>
      <c r="D12" s="232"/>
      <c r="E12" s="233"/>
      <c r="F12" s="231"/>
      <c r="G12" s="232"/>
      <c r="H12" s="232"/>
      <c r="I12" s="232"/>
      <c r="J12" s="233"/>
      <c r="K12" s="16"/>
      <c r="L12" s="16"/>
      <c r="M12" s="16"/>
      <c r="N12" s="16"/>
      <c r="O12" s="16"/>
    </row>
    <row r="13" spans="1:15" x14ac:dyDescent="0.3">
      <c r="A13" s="16"/>
      <c r="B13" s="16"/>
      <c r="C13" s="16"/>
      <c r="D13" s="16"/>
      <c r="E13" s="16"/>
      <c r="F13" s="16"/>
      <c r="G13" s="16"/>
      <c r="H13" s="16"/>
      <c r="I13" s="16"/>
      <c r="J13" s="16"/>
      <c r="K13" s="16"/>
      <c r="L13" s="16"/>
      <c r="M13" s="16"/>
      <c r="N13" s="16"/>
      <c r="O13" s="16"/>
    </row>
    <row r="14" spans="1:15" s="92" customFormat="1" ht="21" customHeight="1" x14ac:dyDescent="0.3">
      <c r="A14" s="91"/>
      <c r="B14" s="93">
        <v>2015</v>
      </c>
      <c r="C14" s="91"/>
      <c r="D14" s="91"/>
      <c r="E14" s="91"/>
      <c r="F14" s="91"/>
      <c r="G14" s="91"/>
      <c r="H14" s="91"/>
      <c r="I14" s="91"/>
      <c r="J14" s="91"/>
      <c r="K14" s="91"/>
      <c r="L14" s="91"/>
      <c r="M14" s="91"/>
      <c r="N14" s="91"/>
      <c r="O14" s="91"/>
    </row>
    <row r="15" spans="1:15" ht="15" thickBot="1" x14ac:dyDescent="0.35">
      <c r="A15" s="16"/>
      <c r="B15" s="16"/>
      <c r="C15" s="16"/>
      <c r="D15" s="16"/>
      <c r="E15" s="16"/>
      <c r="F15" s="16"/>
      <c r="G15" s="16"/>
      <c r="H15" s="16"/>
      <c r="I15" s="16"/>
      <c r="J15" s="16"/>
      <c r="K15" s="16"/>
      <c r="L15" s="16"/>
      <c r="M15" s="16"/>
      <c r="N15" s="16"/>
      <c r="O15" s="16"/>
    </row>
    <row r="16" spans="1:15" ht="26.4" customHeight="1" x14ac:dyDescent="0.3">
      <c r="A16" s="1"/>
      <c r="B16" s="241" t="s">
        <v>135</v>
      </c>
      <c r="C16" s="242"/>
      <c r="D16" s="242"/>
      <c r="E16" s="243"/>
      <c r="F16" s="241" t="s">
        <v>166</v>
      </c>
      <c r="G16" s="242"/>
      <c r="H16" s="242"/>
      <c r="I16" s="242"/>
      <c r="J16" s="243"/>
      <c r="K16" s="36"/>
      <c r="L16" s="1"/>
      <c r="M16" s="1"/>
      <c r="N16" s="1"/>
      <c r="O16" s="10"/>
    </row>
    <row r="17" spans="1:15" ht="75.599999999999994" customHeight="1" thickBot="1" x14ac:dyDescent="0.35">
      <c r="A17" s="1"/>
      <c r="B17" s="247"/>
      <c r="C17" s="248"/>
      <c r="D17" s="248"/>
      <c r="E17" s="249"/>
      <c r="F17" s="247"/>
      <c r="G17" s="248"/>
      <c r="H17" s="248"/>
      <c r="I17" s="248"/>
      <c r="J17" s="249"/>
      <c r="K17" s="36"/>
      <c r="L17" s="1"/>
      <c r="M17" s="1"/>
      <c r="N17" s="1"/>
      <c r="O17" s="10"/>
    </row>
    <row r="18" spans="1:15" ht="18.600000000000001" customHeight="1" thickBot="1" x14ac:dyDescent="0.35">
      <c r="A18" s="1"/>
      <c r="B18" s="1"/>
      <c r="C18" s="1"/>
      <c r="D18" s="1"/>
      <c r="E18" s="1"/>
      <c r="F18" s="36"/>
      <c r="G18" s="1"/>
      <c r="H18" s="1"/>
      <c r="I18" s="1"/>
      <c r="J18" s="1"/>
      <c r="K18" s="36"/>
      <c r="L18" s="1"/>
      <c r="M18" s="1"/>
      <c r="N18" s="1"/>
      <c r="O18" s="10"/>
    </row>
    <row r="19" spans="1:15" ht="26.4" customHeight="1" x14ac:dyDescent="0.3">
      <c r="A19" s="1"/>
      <c r="B19" s="241" t="s">
        <v>133</v>
      </c>
      <c r="C19" s="242"/>
      <c r="D19" s="242"/>
      <c r="E19" s="243"/>
      <c r="F19" s="241" t="s">
        <v>131</v>
      </c>
      <c r="G19" s="242"/>
      <c r="H19" s="242"/>
      <c r="I19" s="242"/>
      <c r="J19" s="243"/>
      <c r="K19" s="36"/>
      <c r="L19" s="1"/>
      <c r="M19" s="1"/>
      <c r="N19" s="1"/>
      <c r="O19" s="10"/>
    </row>
    <row r="20" spans="1:15" ht="75.599999999999994" customHeight="1" thickBot="1" x14ac:dyDescent="0.35">
      <c r="A20" s="1"/>
      <c r="B20" s="247"/>
      <c r="C20" s="248"/>
      <c r="D20" s="248"/>
      <c r="E20" s="249"/>
      <c r="F20" s="247"/>
      <c r="G20" s="248"/>
      <c r="H20" s="248"/>
      <c r="I20" s="248"/>
      <c r="J20" s="249"/>
      <c r="K20" s="36"/>
      <c r="L20" s="1"/>
      <c r="M20" s="1"/>
      <c r="N20" s="1"/>
      <c r="O20" s="10"/>
    </row>
    <row r="21" spans="1:15" ht="18.600000000000001" customHeight="1" thickBot="1" x14ac:dyDescent="0.35">
      <c r="A21" s="1"/>
      <c r="B21" s="1"/>
      <c r="C21" s="1"/>
      <c r="D21" s="1"/>
      <c r="E21" s="1"/>
      <c r="F21" s="36"/>
      <c r="G21" s="1"/>
      <c r="H21" s="1"/>
      <c r="I21" s="1"/>
      <c r="J21" s="1"/>
      <c r="K21" s="36"/>
      <c r="L21" s="1"/>
      <c r="M21" s="1"/>
      <c r="N21" s="1"/>
      <c r="O21" s="10"/>
    </row>
    <row r="22" spans="1:15" ht="26.4" customHeight="1" x14ac:dyDescent="0.3">
      <c r="A22" s="1"/>
      <c r="B22" s="241" t="s">
        <v>134</v>
      </c>
      <c r="C22" s="242"/>
      <c r="D22" s="242"/>
      <c r="E22" s="243"/>
      <c r="F22" s="241" t="s">
        <v>132</v>
      </c>
      <c r="G22" s="242"/>
      <c r="H22" s="242"/>
      <c r="I22" s="242"/>
      <c r="J22" s="243"/>
      <c r="K22" s="36"/>
      <c r="L22" s="1"/>
      <c r="M22" s="1"/>
      <c r="N22" s="1"/>
      <c r="O22" s="10"/>
    </row>
    <row r="23" spans="1:15" ht="75.599999999999994" customHeight="1" thickBot="1" x14ac:dyDescent="0.35">
      <c r="A23" s="1"/>
      <c r="B23" s="252"/>
      <c r="C23" s="253"/>
      <c r="D23" s="253"/>
      <c r="E23" s="254"/>
      <c r="F23" s="247"/>
      <c r="G23" s="248"/>
      <c r="H23" s="248"/>
      <c r="I23" s="248"/>
      <c r="J23" s="249"/>
      <c r="K23" s="36"/>
      <c r="L23" s="1"/>
      <c r="M23" s="1"/>
      <c r="N23" s="1"/>
      <c r="O23" s="10"/>
    </row>
    <row r="24" spans="1:15" ht="18.600000000000001" customHeight="1" thickBot="1" x14ac:dyDescent="0.35">
      <c r="A24" s="1"/>
      <c r="B24" s="1"/>
      <c r="C24" s="1"/>
      <c r="D24" s="1"/>
      <c r="E24" s="1"/>
      <c r="F24" s="36"/>
      <c r="G24" s="1"/>
      <c r="H24" s="1"/>
      <c r="I24" s="1"/>
      <c r="J24" s="1"/>
      <c r="K24" s="36"/>
      <c r="L24" s="1"/>
      <c r="M24" s="1"/>
      <c r="N24" s="1"/>
      <c r="O24" s="10"/>
    </row>
    <row r="25" spans="1:15" ht="24" customHeight="1" thickBot="1" x14ac:dyDescent="0.35">
      <c r="A25" s="1"/>
      <c r="B25" s="255" t="s">
        <v>10</v>
      </c>
      <c r="C25" s="256"/>
      <c r="D25" s="257"/>
      <c r="E25" s="43" t="s">
        <v>1</v>
      </c>
      <c r="F25" s="43" t="s">
        <v>136</v>
      </c>
      <c r="G25" s="43" t="s">
        <v>140</v>
      </c>
      <c r="H25" s="43" t="s">
        <v>143</v>
      </c>
      <c r="I25" s="258" t="s">
        <v>144</v>
      </c>
      <c r="J25" s="259"/>
      <c r="K25" s="1"/>
      <c r="L25" s="1"/>
      <c r="M25" s="1"/>
      <c r="N25" s="1"/>
      <c r="O25" s="10"/>
    </row>
    <row r="26" spans="1:15" ht="60.6" customHeight="1" thickBot="1" x14ac:dyDescent="0.35">
      <c r="A26" s="1"/>
      <c r="B26" s="80" t="s">
        <v>27</v>
      </c>
      <c r="C26" s="81" t="s">
        <v>17</v>
      </c>
      <c r="D26" s="81" t="s">
        <v>5</v>
      </c>
      <c r="E26" s="47" t="s">
        <v>7</v>
      </c>
      <c r="F26" s="47" t="s">
        <v>137</v>
      </c>
      <c r="G26" s="47" t="s">
        <v>141</v>
      </c>
      <c r="H26" s="47" t="s">
        <v>142</v>
      </c>
      <c r="I26" s="260" t="s">
        <v>145</v>
      </c>
      <c r="J26" s="261"/>
      <c r="K26" s="1"/>
      <c r="L26" s="1"/>
      <c r="M26" s="1"/>
      <c r="N26" s="1"/>
      <c r="O26" s="10"/>
    </row>
    <row r="27" spans="1:15" ht="31.8" customHeight="1" x14ac:dyDescent="0.3">
      <c r="A27" s="1"/>
      <c r="B27" s="48" t="s">
        <v>71</v>
      </c>
      <c r="C27" s="64" t="s">
        <v>32</v>
      </c>
      <c r="D27" s="60" t="s">
        <v>106</v>
      </c>
      <c r="E27" s="119">
        <v>2</v>
      </c>
      <c r="F27" s="98">
        <v>1</v>
      </c>
      <c r="G27" s="97">
        <f>($E27-$F27)</f>
        <v>1</v>
      </c>
      <c r="H27" s="99">
        <v>2</v>
      </c>
      <c r="I27" s="262"/>
      <c r="J27" s="263"/>
      <c r="K27" s="1"/>
      <c r="L27" s="1"/>
      <c r="M27" s="1"/>
      <c r="N27" s="1"/>
      <c r="O27" s="10"/>
    </row>
    <row r="28" spans="1:15" ht="31.8" customHeight="1" x14ac:dyDescent="0.3">
      <c r="A28" s="1"/>
      <c r="B28" s="48" t="s">
        <v>71</v>
      </c>
      <c r="C28" s="64" t="s">
        <v>32</v>
      </c>
      <c r="D28" s="60" t="s">
        <v>107</v>
      </c>
      <c r="E28" s="119">
        <v>2</v>
      </c>
      <c r="F28" s="98">
        <v>1</v>
      </c>
      <c r="G28" s="97">
        <f t="shared" ref="G28:G52" si="0">($E28-$F28)</f>
        <v>1</v>
      </c>
      <c r="H28" s="99">
        <v>2</v>
      </c>
      <c r="I28" s="250"/>
      <c r="J28" s="251"/>
      <c r="K28" s="1"/>
      <c r="L28" s="1"/>
      <c r="M28" s="1"/>
      <c r="N28" s="1"/>
      <c r="O28" s="10"/>
    </row>
    <row r="29" spans="1:15" ht="31.8" customHeight="1" x14ac:dyDescent="0.3">
      <c r="A29" s="1"/>
      <c r="B29" s="48" t="s">
        <v>71</v>
      </c>
      <c r="C29" s="64" t="s">
        <v>32</v>
      </c>
      <c r="D29" s="60" t="s">
        <v>108</v>
      </c>
      <c r="E29" s="119">
        <v>2</v>
      </c>
      <c r="F29" s="98">
        <v>1</v>
      </c>
      <c r="G29" s="97">
        <f t="shared" si="0"/>
        <v>1</v>
      </c>
      <c r="H29" s="99">
        <v>2</v>
      </c>
      <c r="I29" s="250"/>
      <c r="J29" s="251"/>
      <c r="K29" s="1"/>
      <c r="L29" s="1"/>
      <c r="M29" s="1"/>
      <c r="N29" s="1"/>
      <c r="O29" s="10"/>
    </row>
    <row r="30" spans="1:15" ht="31.8" customHeight="1" x14ac:dyDescent="0.3">
      <c r="A30" s="1"/>
      <c r="B30" s="48" t="s">
        <v>71</v>
      </c>
      <c r="C30" s="64" t="s">
        <v>32</v>
      </c>
      <c r="D30" s="60" t="s">
        <v>109</v>
      </c>
      <c r="E30" s="119">
        <v>2</v>
      </c>
      <c r="F30" s="98">
        <v>1</v>
      </c>
      <c r="G30" s="97">
        <f t="shared" si="0"/>
        <v>1</v>
      </c>
      <c r="H30" s="99">
        <v>2</v>
      </c>
      <c r="I30" s="250"/>
      <c r="J30" s="251"/>
      <c r="K30" s="1"/>
      <c r="L30" s="1"/>
      <c r="M30" s="1"/>
      <c r="N30" s="1"/>
      <c r="O30" s="10"/>
    </row>
    <row r="31" spans="1:15" ht="31.8" customHeight="1" x14ac:dyDescent="0.3">
      <c r="A31" s="1"/>
      <c r="B31" s="48" t="s">
        <v>71</v>
      </c>
      <c r="C31" s="64" t="s">
        <v>33</v>
      </c>
      <c r="D31" s="60" t="s">
        <v>110</v>
      </c>
      <c r="E31" s="119">
        <v>3</v>
      </c>
      <c r="F31" s="98">
        <v>1</v>
      </c>
      <c r="G31" s="97">
        <f t="shared" si="0"/>
        <v>2</v>
      </c>
      <c r="H31" s="99">
        <v>2</v>
      </c>
      <c r="I31" s="250"/>
      <c r="J31" s="251"/>
      <c r="K31" s="1"/>
      <c r="L31" s="1"/>
      <c r="M31" s="1"/>
      <c r="N31" s="1"/>
      <c r="O31" s="10"/>
    </row>
    <row r="32" spans="1:15" ht="31.8" customHeight="1" x14ac:dyDescent="0.3">
      <c r="A32" s="1"/>
      <c r="B32" s="48" t="s">
        <v>71</v>
      </c>
      <c r="C32" s="64" t="s">
        <v>33</v>
      </c>
      <c r="D32" s="60" t="s">
        <v>111</v>
      </c>
      <c r="E32" s="119">
        <v>3</v>
      </c>
      <c r="F32" s="98">
        <v>1</v>
      </c>
      <c r="G32" s="97">
        <f t="shared" si="0"/>
        <v>2</v>
      </c>
      <c r="H32" s="99">
        <v>2</v>
      </c>
      <c r="I32" s="250"/>
      <c r="J32" s="251"/>
      <c r="K32" s="1"/>
      <c r="L32" s="1"/>
      <c r="M32" s="1"/>
      <c r="N32" s="1"/>
      <c r="O32" s="10"/>
    </row>
    <row r="33" spans="1:22" ht="31.8" customHeight="1" x14ac:dyDescent="0.3">
      <c r="A33" s="1"/>
      <c r="B33" s="48" t="s">
        <v>71</v>
      </c>
      <c r="C33" s="64" t="s">
        <v>33</v>
      </c>
      <c r="D33" s="60" t="s">
        <v>112</v>
      </c>
      <c r="E33" s="119">
        <v>2</v>
      </c>
      <c r="F33" s="98">
        <v>1</v>
      </c>
      <c r="G33" s="97">
        <f t="shared" si="0"/>
        <v>1</v>
      </c>
      <c r="H33" s="99">
        <v>2</v>
      </c>
      <c r="I33" s="250"/>
      <c r="J33" s="251"/>
      <c r="K33" s="1"/>
      <c r="L33" s="1"/>
      <c r="M33" s="1"/>
      <c r="N33" s="1"/>
      <c r="O33" s="10"/>
    </row>
    <row r="34" spans="1:22" ht="31.8" customHeight="1" x14ac:dyDescent="0.3">
      <c r="A34" s="1"/>
      <c r="B34" s="48" t="s">
        <v>71</v>
      </c>
      <c r="C34" s="64" t="s">
        <v>33</v>
      </c>
      <c r="D34" s="60" t="s">
        <v>113</v>
      </c>
      <c r="E34" s="119">
        <v>3</v>
      </c>
      <c r="F34" s="98">
        <v>1</v>
      </c>
      <c r="G34" s="97">
        <f t="shared" si="0"/>
        <v>2</v>
      </c>
      <c r="H34" s="99">
        <v>2</v>
      </c>
      <c r="I34" s="250"/>
      <c r="J34" s="251"/>
      <c r="K34" s="1"/>
      <c r="L34" s="1"/>
      <c r="M34" s="1"/>
      <c r="N34" s="1"/>
      <c r="O34" s="10"/>
    </row>
    <row r="35" spans="1:22" ht="31.8" customHeight="1" x14ac:dyDescent="0.3">
      <c r="A35" s="1"/>
      <c r="B35" s="48" t="s">
        <v>71</v>
      </c>
      <c r="C35" s="64" t="s">
        <v>38</v>
      </c>
      <c r="D35" s="60" t="s">
        <v>114</v>
      </c>
      <c r="E35" s="119">
        <v>2</v>
      </c>
      <c r="F35" s="98">
        <v>1</v>
      </c>
      <c r="G35" s="97">
        <f t="shared" si="0"/>
        <v>1</v>
      </c>
      <c r="H35" s="99">
        <v>2</v>
      </c>
      <c r="I35" s="250"/>
      <c r="J35" s="251"/>
      <c r="K35" s="1"/>
      <c r="L35" s="1"/>
      <c r="M35" s="1"/>
      <c r="N35" s="1"/>
      <c r="O35" s="10"/>
    </row>
    <row r="36" spans="1:22" ht="31.8" customHeight="1" x14ac:dyDescent="0.3">
      <c r="A36" s="1"/>
      <c r="B36" s="48" t="s">
        <v>71</v>
      </c>
      <c r="C36" s="64" t="s">
        <v>38</v>
      </c>
      <c r="D36" s="60" t="s">
        <v>115</v>
      </c>
      <c r="E36" s="119">
        <v>3</v>
      </c>
      <c r="F36" s="98">
        <v>1</v>
      </c>
      <c r="G36" s="97">
        <f t="shared" si="0"/>
        <v>2</v>
      </c>
      <c r="H36" s="99">
        <v>2</v>
      </c>
      <c r="I36" s="250"/>
      <c r="J36" s="251"/>
      <c r="K36" s="1"/>
      <c r="L36" s="1"/>
      <c r="M36" s="1"/>
      <c r="N36" s="1"/>
      <c r="O36" s="10"/>
    </row>
    <row r="37" spans="1:22" ht="31.8" customHeight="1" x14ac:dyDescent="0.3">
      <c r="A37" s="1"/>
      <c r="B37" s="48" t="s">
        <v>71</v>
      </c>
      <c r="C37" s="64" t="s">
        <v>39</v>
      </c>
      <c r="D37" s="60" t="s">
        <v>116</v>
      </c>
      <c r="E37" s="120">
        <v>3</v>
      </c>
      <c r="F37" s="98">
        <v>1</v>
      </c>
      <c r="G37" s="97">
        <f t="shared" si="0"/>
        <v>2</v>
      </c>
      <c r="H37" s="99">
        <v>2</v>
      </c>
      <c r="I37" s="250"/>
      <c r="J37" s="251"/>
      <c r="K37" s="1"/>
      <c r="L37" s="1"/>
      <c r="M37" s="1"/>
      <c r="N37" s="1"/>
      <c r="O37" s="10"/>
    </row>
    <row r="38" spans="1:22" ht="31.8" customHeight="1" x14ac:dyDescent="0.3">
      <c r="A38" s="1"/>
      <c r="B38" s="48" t="s">
        <v>71</v>
      </c>
      <c r="C38" s="64" t="s">
        <v>39</v>
      </c>
      <c r="D38" s="60" t="s">
        <v>117</v>
      </c>
      <c r="E38" s="120">
        <v>3</v>
      </c>
      <c r="F38" s="98">
        <v>1</v>
      </c>
      <c r="G38" s="97">
        <f t="shared" si="0"/>
        <v>2</v>
      </c>
      <c r="H38" s="99">
        <v>2</v>
      </c>
      <c r="I38" s="250"/>
      <c r="J38" s="251"/>
      <c r="K38" s="1"/>
      <c r="L38" s="1"/>
      <c r="M38" s="1"/>
      <c r="N38" s="1"/>
      <c r="O38" s="10"/>
    </row>
    <row r="39" spans="1:22" ht="31.8" customHeight="1" x14ac:dyDescent="0.3">
      <c r="A39" s="1"/>
      <c r="B39" s="48" t="s">
        <v>71</v>
      </c>
      <c r="C39" s="64" t="s">
        <v>42</v>
      </c>
      <c r="D39" s="60" t="s">
        <v>118</v>
      </c>
      <c r="E39" s="119">
        <v>3</v>
      </c>
      <c r="F39" s="98">
        <v>1</v>
      </c>
      <c r="G39" s="97">
        <f t="shared" si="0"/>
        <v>2</v>
      </c>
      <c r="H39" s="99">
        <v>2</v>
      </c>
      <c r="I39" s="250"/>
      <c r="J39" s="251"/>
      <c r="K39" s="1"/>
      <c r="L39" s="1"/>
      <c r="M39" s="1"/>
      <c r="N39" s="1"/>
      <c r="O39" s="10"/>
    </row>
    <row r="40" spans="1:22" ht="31.8" customHeight="1" x14ac:dyDescent="0.3">
      <c r="A40" s="1"/>
      <c r="B40" s="48" t="s">
        <v>71</v>
      </c>
      <c r="C40" s="64" t="s">
        <v>42</v>
      </c>
      <c r="D40" s="60" t="s">
        <v>119</v>
      </c>
      <c r="E40" s="119">
        <v>2</v>
      </c>
      <c r="F40" s="98">
        <v>1</v>
      </c>
      <c r="G40" s="97">
        <f t="shared" si="0"/>
        <v>1</v>
      </c>
      <c r="H40" s="99">
        <v>2</v>
      </c>
      <c r="I40" s="250"/>
      <c r="J40" s="251"/>
      <c r="K40" s="1"/>
      <c r="L40" s="1"/>
      <c r="M40" s="1"/>
      <c r="N40" s="1"/>
      <c r="O40" s="10"/>
    </row>
    <row r="41" spans="1:22" s="96" customFormat="1" ht="31.8" customHeight="1" x14ac:dyDescent="0.3">
      <c r="A41" s="1"/>
      <c r="B41" s="48" t="s">
        <v>71</v>
      </c>
      <c r="C41" s="64" t="s">
        <v>45</v>
      </c>
      <c r="D41" s="60" t="s">
        <v>120</v>
      </c>
      <c r="E41" s="121">
        <v>2</v>
      </c>
      <c r="F41" s="100">
        <v>1</v>
      </c>
      <c r="G41" s="97">
        <f t="shared" si="0"/>
        <v>1</v>
      </c>
      <c r="H41" s="99">
        <v>2</v>
      </c>
      <c r="I41" s="250"/>
      <c r="J41" s="251"/>
      <c r="K41" s="1"/>
      <c r="L41" s="1"/>
      <c r="M41" s="1"/>
      <c r="N41" s="1"/>
      <c r="O41" s="1"/>
      <c r="P41" s="95"/>
      <c r="Q41" s="95"/>
      <c r="R41" s="95"/>
      <c r="S41" s="95"/>
      <c r="T41" s="95"/>
      <c r="U41" s="95"/>
      <c r="V41" s="95"/>
    </row>
    <row r="42" spans="1:22" ht="31.8" customHeight="1" x14ac:dyDescent="0.3">
      <c r="A42" s="1"/>
      <c r="B42" s="48" t="s">
        <v>71</v>
      </c>
      <c r="C42" s="64" t="s">
        <v>47</v>
      </c>
      <c r="D42" s="60" t="s">
        <v>48</v>
      </c>
      <c r="E42" s="119">
        <v>3</v>
      </c>
      <c r="F42" s="98">
        <v>1</v>
      </c>
      <c r="G42" s="97">
        <f>($E42-$F42)</f>
        <v>2</v>
      </c>
      <c r="H42" s="99">
        <v>2</v>
      </c>
      <c r="I42" s="250"/>
      <c r="J42" s="251"/>
      <c r="K42" s="1"/>
      <c r="L42" s="1"/>
      <c r="M42" s="1"/>
      <c r="N42" s="1"/>
      <c r="O42" s="10"/>
    </row>
    <row r="43" spans="1:22" ht="31.8" customHeight="1" x14ac:dyDescent="0.3">
      <c r="A43" s="1"/>
      <c r="B43" s="48" t="s">
        <v>71</v>
      </c>
      <c r="C43" s="64" t="s">
        <v>47</v>
      </c>
      <c r="D43" s="60" t="s">
        <v>121</v>
      </c>
      <c r="E43" s="119">
        <v>3</v>
      </c>
      <c r="F43" s="98">
        <v>1</v>
      </c>
      <c r="G43" s="97">
        <f t="shared" si="0"/>
        <v>2</v>
      </c>
      <c r="H43" s="99">
        <v>2</v>
      </c>
      <c r="I43" s="250"/>
      <c r="J43" s="251"/>
      <c r="K43" s="1"/>
      <c r="L43" s="1"/>
      <c r="M43" s="1"/>
      <c r="N43" s="1"/>
      <c r="O43" s="10"/>
    </row>
    <row r="44" spans="1:22" ht="31.8" customHeight="1" x14ac:dyDescent="0.3">
      <c r="A44" s="1"/>
      <c r="B44" s="48" t="s">
        <v>71</v>
      </c>
      <c r="C44" s="64" t="s">
        <v>50</v>
      </c>
      <c r="D44" s="60" t="s">
        <v>51</v>
      </c>
      <c r="E44" s="119">
        <v>3</v>
      </c>
      <c r="F44" s="100">
        <v>1</v>
      </c>
      <c r="G44" s="97">
        <f t="shared" si="0"/>
        <v>2</v>
      </c>
      <c r="H44" s="99">
        <v>2</v>
      </c>
      <c r="I44" s="250"/>
      <c r="J44" s="251"/>
      <c r="K44" s="1"/>
      <c r="L44" s="1"/>
      <c r="M44" s="1"/>
      <c r="N44" s="1"/>
      <c r="O44" s="10"/>
    </row>
    <row r="45" spans="1:22" ht="31.8" customHeight="1" x14ac:dyDescent="0.3">
      <c r="A45" s="1"/>
      <c r="B45" s="48" t="s">
        <v>71</v>
      </c>
      <c r="C45" s="64" t="s">
        <v>50</v>
      </c>
      <c r="D45" s="60" t="s">
        <v>53</v>
      </c>
      <c r="E45" s="119">
        <v>3</v>
      </c>
      <c r="F45" s="98">
        <v>1</v>
      </c>
      <c r="G45" s="97">
        <f t="shared" si="0"/>
        <v>2</v>
      </c>
      <c r="H45" s="99">
        <v>2</v>
      </c>
      <c r="I45" s="250"/>
      <c r="J45" s="251"/>
      <c r="K45" s="1"/>
      <c r="L45" s="1"/>
      <c r="M45" s="1"/>
      <c r="N45" s="1"/>
      <c r="O45" s="10"/>
    </row>
    <row r="46" spans="1:22" ht="31.8" customHeight="1" x14ac:dyDescent="0.3">
      <c r="A46" s="1"/>
      <c r="B46" s="48" t="s">
        <v>71</v>
      </c>
      <c r="C46" s="64" t="s">
        <v>50</v>
      </c>
      <c r="D46" s="60" t="s">
        <v>55</v>
      </c>
      <c r="E46" s="119">
        <v>3</v>
      </c>
      <c r="F46" s="98">
        <v>1</v>
      </c>
      <c r="G46" s="97">
        <f t="shared" si="0"/>
        <v>2</v>
      </c>
      <c r="H46" s="99">
        <v>2</v>
      </c>
      <c r="I46" s="250"/>
      <c r="J46" s="251"/>
      <c r="K46" s="1"/>
      <c r="L46" s="1"/>
      <c r="M46" s="1"/>
      <c r="N46" s="1"/>
      <c r="O46" s="10"/>
    </row>
    <row r="47" spans="1:22" ht="31.8" customHeight="1" x14ac:dyDescent="0.3">
      <c r="A47" s="1"/>
      <c r="B47" s="48" t="s">
        <v>71</v>
      </c>
      <c r="C47" s="64" t="s">
        <v>57</v>
      </c>
      <c r="D47" s="62" t="s">
        <v>58</v>
      </c>
      <c r="E47" s="119">
        <v>3</v>
      </c>
      <c r="F47" s="100">
        <v>1</v>
      </c>
      <c r="G47" s="97">
        <f t="shared" si="0"/>
        <v>2</v>
      </c>
      <c r="H47" s="99">
        <v>2</v>
      </c>
      <c r="I47" s="250"/>
      <c r="J47" s="251"/>
      <c r="K47" s="1"/>
      <c r="L47" s="1"/>
      <c r="M47" s="1"/>
      <c r="N47" s="1"/>
      <c r="O47" s="10"/>
    </row>
    <row r="48" spans="1:22" ht="31.8" customHeight="1" x14ac:dyDescent="0.3">
      <c r="A48" s="1"/>
      <c r="B48" s="64" t="s">
        <v>31</v>
      </c>
      <c r="C48" s="64" t="s">
        <v>70</v>
      </c>
      <c r="D48" s="55" t="s">
        <v>60</v>
      </c>
      <c r="E48" s="119">
        <v>3</v>
      </c>
      <c r="F48" s="98">
        <v>1</v>
      </c>
      <c r="G48" s="97">
        <f t="shared" si="0"/>
        <v>2</v>
      </c>
      <c r="H48" s="99">
        <v>2</v>
      </c>
      <c r="I48" s="250"/>
      <c r="J48" s="251"/>
      <c r="K48" s="1"/>
      <c r="L48" s="1"/>
      <c r="M48" s="1"/>
      <c r="N48" s="1"/>
      <c r="O48" s="10"/>
    </row>
    <row r="49" spans="1:15" ht="31.8" customHeight="1" x14ac:dyDescent="0.3">
      <c r="A49" s="1"/>
      <c r="B49" s="64" t="s">
        <v>31</v>
      </c>
      <c r="C49" s="64" t="s">
        <v>70</v>
      </c>
      <c r="D49" s="55" t="s">
        <v>62</v>
      </c>
      <c r="E49" s="119">
        <v>2</v>
      </c>
      <c r="F49" s="98">
        <v>1</v>
      </c>
      <c r="G49" s="97">
        <f t="shared" si="0"/>
        <v>1</v>
      </c>
      <c r="H49" s="99">
        <v>2</v>
      </c>
      <c r="I49" s="250"/>
      <c r="J49" s="251"/>
      <c r="K49" s="1"/>
      <c r="L49" s="1"/>
      <c r="M49" s="1"/>
      <c r="N49" s="1"/>
      <c r="O49" s="10"/>
    </row>
    <row r="50" spans="1:15" ht="31.8" customHeight="1" x14ac:dyDescent="0.3">
      <c r="A50" s="1"/>
      <c r="B50" s="64" t="s">
        <v>31</v>
      </c>
      <c r="C50" s="64" t="s">
        <v>70</v>
      </c>
      <c r="D50" s="55" t="s">
        <v>64</v>
      </c>
      <c r="E50" s="119">
        <v>2</v>
      </c>
      <c r="F50" s="98">
        <v>1</v>
      </c>
      <c r="G50" s="97">
        <f t="shared" si="0"/>
        <v>1</v>
      </c>
      <c r="H50" s="99">
        <v>2</v>
      </c>
      <c r="I50" s="250"/>
      <c r="J50" s="251"/>
      <c r="K50" s="1"/>
      <c r="L50" s="1"/>
      <c r="M50" s="1"/>
      <c r="N50" s="1"/>
      <c r="O50" s="10"/>
    </row>
    <row r="51" spans="1:15" ht="31.8" customHeight="1" x14ac:dyDescent="0.3">
      <c r="A51" s="1"/>
      <c r="B51" s="64" t="s">
        <v>31</v>
      </c>
      <c r="C51" s="64" t="s">
        <v>70</v>
      </c>
      <c r="D51" s="55" t="s">
        <v>66</v>
      </c>
      <c r="E51" s="119">
        <v>2</v>
      </c>
      <c r="F51" s="98">
        <v>1</v>
      </c>
      <c r="G51" s="97">
        <f t="shared" si="0"/>
        <v>1</v>
      </c>
      <c r="H51" s="99">
        <v>2</v>
      </c>
      <c r="I51" s="250"/>
      <c r="J51" s="251"/>
      <c r="K51" s="1"/>
      <c r="L51" s="1"/>
      <c r="M51" s="1"/>
      <c r="N51" s="1"/>
      <c r="O51" s="10"/>
    </row>
    <row r="52" spans="1:15" ht="31.8" customHeight="1" thickBot="1" x14ac:dyDescent="0.35">
      <c r="A52" s="1"/>
      <c r="B52" s="64" t="s">
        <v>31</v>
      </c>
      <c r="C52" s="64" t="s">
        <v>70</v>
      </c>
      <c r="D52" s="55" t="s">
        <v>68</v>
      </c>
      <c r="E52" s="122">
        <v>2</v>
      </c>
      <c r="F52" s="123">
        <v>1</v>
      </c>
      <c r="G52" s="124">
        <f t="shared" si="0"/>
        <v>1</v>
      </c>
      <c r="H52" s="125">
        <v>2</v>
      </c>
      <c r="I52" s="268"/>
      <c r="J52" s="269"/>
      <c r="K52" s="1"/>
      <c r="L52" s="1"/>
      <c r="M52" s="1"/>
      <c r="N52" s="1"/>
      <c r="O52" s="10"/>
    </row>
    <row r="53" spans="1:15" ht="31.8" customHeight="1" thickBot="1" x14ac:dyDescent="0.35">
      <c r="A53" s="1"/>
      <c r="B53" s="264" t="s">
        <v>177</v>
      </c>
      <c r="C53" s="265"/>
      <c r="D53" s="265"/>
      <c r="E53" s="130">
        <f>AVERAGE(E27:E52)</f>
        <v>2.5384615384615383</v>
      </c>
      <c r="F53" s="131">
        <f>AVERAGE(F27:F52)</f>
        <v>1</v>
      </c>
      <c r="G53" s="132"/>
      <c r="H53" s="130">
        <f>AVERAGE(H27:H52)</f>
        <v>2</v>
      </c>
      <c r="I53" s="266"/>
      <c r="J53" s="267"/>
      <c r="K53" s="1"/>
      <c r="L53" s="1"/>
      <c r="M53" s="1"/>
      <c r="N53" s="1"/>
      <c r="O53" s="10"/>
    </row>
    <row r="54" spans="1:15" x14ac:dyDescent="0.3">
      <c r="A54" s="1"/>
      <c r="B54" s="1"/>
      <c r="C54" s="1"/>
      <c r="D54" s="1"/>
      <c r="E54" s="1"/>
      <c r="F54" s="1"/>
      <c r="G54" s="1"/>
      <c r="H54" s="1"/>
      <c r="I54" s="1"/>
      <c r="J54" s="1"/>
      <c r="K54" s="1"/>
      <c r="L54" s="1"/>
      <c r="M54" s="1"/>
      <c r="N54" s="1"/>
      <c r="O54" s="10"/>
    </row>
    <row r="55" spans="1:15" s="118" customFormat="1" x14ac:dyDescent="0.3">
      <c r="A55" s="117"/>
      <c r="B55" s="117"/>
      <c r="C55" s="117"/>
      <c r="D55" s="117"/>
      <c r="E55" s="117"/>
      <c r="F55" s="117"/>
      <c r="G55" s="117"/>
      <c r="H55" s="117"/>
      <c r="I55" s="117"/>
      <c r="J55" s="117"/>
      <c r="K55" s="117"/>
      <c r="L55" s="117"/>
      <c r="M55" s="117"/>
      <c r="N55" s="117"/>
      <c r="O55" s="117"/>
    </row>
    <row r="56" spans="1:15" ht="15" thickBot="1" x14ac:dyDescent="0.35">
      <c r="A56" s="1"/>
      <c r="B56" s="1"/>
      <c r="C56" s="1"/>
      <c r="D56" s="1"/>
      <c r="E56" s="1"/>
      <c r="F56" s="1"/>
      <c r="G56" s="1"/>
      <c r="H56" s="1"/>
      <c r="I56" s="1"/>
      <c r="J56" s="1"/>
      <c r="K56" s="1"/>
      <c r="L56" s="1"/>
      <c r="M56" s="1"/>
      <c r="N56" s="1"/>
      <c r="O56" s="1"/>
    </row>
    <row r="57" spans="1:15" ht="21.6" customHeight="1" thickBot="1" x14ac:dyDescent="0.35">
      <c r="A57" s="1"/>
      <c r="B57" s="272" t="s">
        <v>149</v>
      </c>
      <c r="C57" s="273"/>
      <c r="D57" s="274"/>
      <c r="E57" s="1"/>
      <c r="F57" s="1"/>
      <c r="G57" s="1"/>
      <c r="H57" s="1"/>
      <c r="I57" s="1"/>
      <c r="J57" s="1"/>
      <c r="K57" s="1"/>
      <c r="L57" s="1"/>
      <c r="M57" s="1"/>
      <c r="N57" s="1"/>
      <c r="O57" s="1"/>
    </row>
    <row r="58" spans="1:15" ht="16.8" customHeight="1" x14ac:dyDescent="0.3">
      <c r="A58" s="1"/>
      <c r="B58" s="275" t="s">
        <v>164</v>
      </c>
      <c r="C58" s="276"/>
      <c r="D58" s="277"/>
      <c r="E58" s="278" t="s">
        <v>157</v>
      </c>
      <c r="F58" s="278" t="s">
        <v>160</v>
      </c>
      <c r="G58" s="278" t="s">
        <v>158</v>
      </c>
      <c r="H58" s="278" t="s">
        <v>161</v>
      </c>
      <c r="I58" s="278" t="s">
        <v>159</v>
      </c>
      <c r="J58" s="278" t="s">
        <v>162</v>
      </c>
      <c r="K58" s="112"/>
      <c r="L58" s="1"/>
      <c r="M58" s="1"/>
      <c r="N58" s="1"/>
      <c r="O58" s="1"/>
    </row>
    <row r="59" spans="1:15" ht="16.8" customHeight="1" x14ac:dyDescent="0.3">
      <c r="A59" s="1"/>
      <c r="B59" s="281" t="s">
        <v>163</v>
      </c>
      <c r="C59" s="282"/>
      <c r="D59" s="283"/>
      <c r="E59" s="279"/>
      <c r="F59" s="279"/>
      <c r="G59" s="279"/>
      <c r="H59" s="279"/>
      <c r="I59" s="279"/>
      <c r="J59" s="279"/>
      <c r="K59" s="112"/>
      <c r="L59" s="1"/>
      <c r="M59" s="1"/>
      <c r="N59" s="1"/>
      <c r="O59" s="1"/>
    </row>
    <row r="60" spans="1:15" ht="16.8" customHeight="1" x14ac:dyDescent="0.3">
      <c r="A60" s="1"/>
      <c r="B60" s="284" t="s">
        <v>165</v>
      </c>
      <c r="C60" s="285"/>
      <c r="D60" s="286"/>
      <c r="E60" s="280"/>
      <c r="F60" s="280"/>
      <c r="G60" s="280"/>
      <c r="H60" s="280"/>
      <c r="I60" s="280"/>
      <c r="J60" s="280"/>
      <c r="K60" s="112"/>
      <c r="L60" s="1"/>
      <c r="M60" s="1"/>
      <c r="N60" s="1"/>
      <c r="O60" s="1"/>
    </row>
    <row r="61" spans="1:15" s="113" customFormat="1" ht="45.6" customHeight="1" x14ac:dyDescent="0.3">
      <c r="A61" s="112"/>
      <c r="B61" s="287" t="s">
        <v>175</v>
      </c>
      <c r="C61" s="271"/>
      <c r="D61" s="116" t="s">
        <v>167</v>
      </c>
      <c r="E61" s="98">
        <v>1</v>
      </c>
      <c r="F61" s="114"/>
      <c r="G61" s="98">
        <v>1</v>
      </c>
      <c r="H61" s="114"/>
      <c r="I61" s="98">
        <v>1</v>
      </c>
      <c r="J61" s="115"/>
      <c r="K61" s="112"/>
      <c r="L61" s="112"/>
      <c r="M61" s="112"/>
      <c r="N61" s="112"/>
      <c r="O61" s="112"/>
    </row>
    <row r="62" spans="1:15" s="113" customFormat="1" ht="45.6" customHeight="1" x14ac:dyDescent="0.3">
      <c r="A62" s="112"/>
      <c r="B62" s="270" t="s">
        <v>150</v>
      </c>
      <c r="C62" s="271"/>
      <c r="D62" s="116" t="s">
        <v>176</v>
      </c>
      <c r="E62" s="98">
        <v>1</v>
      </c>
      <c r="F62" s="114"/>
      <c r="G62" s="98">
        <v>1</v>
      </c>
      <c r="H62" s="114"/>
      <c r="I62" s="98">
        <v>1</v>
      </c>
      <c r="J62" s="115"/>
      <c r="K62" s="112"/>
      <c r="L62" s="112"/>
      <c r="M62" s="112"/>
      <c r="N62" s="112"/>
      <c r="O62" s="112"/>
    </row>
    <row r="63" spans="1:15" s="113" customFormat="1" ht="45.6" customHeight="1" x14ac:dyDescent="0.3">
      <c r="A63" s="112"/>
      <c r="B63" s="270" t="s">
        <v>151</v>
      </c>
      <c r="C63" s="271"/>
      <c r="D63" s="116" t="s">
        <v>168</v>
      </c>
      <c r="E63" s="98">
        <v>1</v>
      </c>
      <c r="F63" s="114"/>
      <c r="G63" s="98">
        <v>1</v>
      </c>
      <c r="H63" s="114"/>
      <c r="I63" s="98">
        <v>1</v>
      </c>
      <c r="J63" s="115"/>
      <c r="K63" s="112"/>
      <c r="L63" s="112"/>
      <c r="M63" s="112"/>
      <c r="N63" s="112"/>
      <c r="O63" s="112"/>
    </row>
    <row r="64" spans="1:15" s="113" customFormat="1" ht="45.6" customHeight="1" x14ac:dyDescent="0.3">
      <c r="A64" s="112"/>
      <c r="B64" s="270" t="s">
        <v>170</v>
      </c>
      <c r="C64" s="271"/>
      <c r="D64" s="116" t="s">
        <v>174</v>
      </c>
      <c r="E64" s="98">
        <v>1</v>
      </c>
      <c r="F64" s="114"/>
      <c r="G64" s="98">
        <v>1</v>
      </c>
      <c r="H64" s="114"/>
      <c r="I64" s="98">
        <v>1</v>
      </c>
      <c r="J64" s="115"/>
      <c r="K64" s="112"/>
      <c r="L64" s="112"/>
      <c r="M64" s="112"/>
      <c r="N64" s="112"/>
      <c r="O64" s="112"/>
    </row>
    <row r="65" spans="1:15" s="113" customFormat="1" ht="45.6" customHeight="1" x14ac:dyDescent="0.3">
      <c r="A65" s="112"/>
      <c r="B65" s="270" t="s">
        <v>152</v>
      </c>
      <c r="C65" s="271"/>
      <c r="D65" s="116" t="s">
        <v>172</v>
      </c>
      <c r="E65" s="98">
        <v>1</v>
      </c>
      <c r="F65" s="114"/>
      <c r="G65" s="98">
        <v>1</v>
      </c>
      <c r="H65" s="114"/>
      <c r="I65" s="98">
        <v>1</v>
      </c>
      <c r="J65" s="115"/>
      <c r="K65" s="112"/>
      <c r="L65" s="112"/>
      <c r="M65" s="112"/>
      <c r="N65" s="112"/>
      <c r="O65" s="112"/>
    </row>
    <row r="66" spans="1:15" s="113" customFormat="1" ht="45.6" customHeight="1" x14ac:dyDescent="0.3">
      <c r="A66" s="112"/>
      <c r="B66" s="291" t="s">
        <v>153</v>
      </c>
      <c r="C66" s="292"/>
      <c r="D66" s="116" t="s">
        <v>173</v>
      </c>
      <c r="E66" s="98">
        <v>1</v>
      </c>
      <c r="F66" s="114"/>
      <c r="G66" s="98">
        <v>1</v>
      </c>
      <c r="H66" s="114"/>
      <c r="I66" s="98">
        <v>1</v>
      </c>
      <c r="J66" s="115"/>
      <c r="K66" s="112"/>
      <c r="L66" s="112"/>
      <c r="M66" s="112"/>
      <c r="N66" s="112"/>
      <c r="O66" s="112"/>
    </row>
    <row r="67" spans="1:15" s="113" customFormat="1" ht="45.6" customHeight="1" x14ac:dyDescent="0.3">
      <c r="A67" s="112"/>
      <c r="B67" s="291" t="s">
        <v>155</v>
      </c>
      <c r="C67" s="292"/>
      <c r="D67" s="116" t="s">
        <v>171</v>
      </c>
      <c r="E67" s="98">
        <v>1</v>
      </c>
      <c r="F67" s="114"/>
      <c r="G67" s="98">
        <v>1</v>
      </c>
      <c r="H67" s="114"/>
      <c r="I67" s="98">
        <v>1</v>
      </c>
      <c r="J67" s="115"/>
      <c r="K67" s="112"/>
      <c r="L67" s="112"/>
      <c r="M67" s="112"/>
      <c r="N67" s="112"/>
      <c r="O67" s="112"/>
    </row>
    <row r="68" spans="1:15" s="113" customFormat="1" ht="45.6" customHeight="1" thickBot="1" x14ac:dyDescent="0.35">
      <c r="A68" s="112"/>
      <c r="B68" s="293" t="s">
        <v>154</v>
      </c>
      <c r="C68" s="294"/>
      <c r="D68" s="126" t="s">
        <v>169</v>
      </c>
      <c r="E68" s="123">
        <v>1</v>
      </c>
      <c r="F68" s="127"/>
      <c r="G68" s="123">
        <v>1</v>
      </c>
      <c r="H68" s="127"/>
      <c r="I68" s="123">
        <v>1</v>
      </c>
      <c r="J68" s="128"/>
      <c r="K68" s="112"/>
      <c r="L68" s="112"/>
      <c r="M68" s="112"/>
      <c r="N68" s="112"/>
      <c r="O68" s="112"/>
    </row>
    <row r="69" spans="1:15" s="113" customFormat="1" ht="31.8" customHeight="1" thickBot="1" x14ac:dyDescent="0.35">
      <c r="A69" s="112"/>
      <c r="B69" s="288" t="s">
        <v>156</v>
      </c>
      <c r="C69" s="289"/>
      <c r="D69" s="290"/>
      <c r="E69" s="133">
        <f>AVERAGE(E61:E68)</f>
        <v>1</v>
      </c>
      <c r="F69" s="129">
        <f>IFERROR((E69/5),1)</f>
        <v>0.2</v>
      </c>
      <c r="G69" s="133">
        <f>AVERAGE(G61:G68)</f>
        <v>1</v>
      </c>
      <c r="H69" s="129">
        <f>IFERROR((G69/5),1)</f>
        <v>0.2</v>
      </c>
      <c r="I69" s="133">
        <f>AVERAGE(I61:I68)</f>
        <v>1</v>
      </c>
      <c r="J69" s="129">
        <f>IFERROR((I69/5),1)</f>
        <v>0.2</v>
      </c>
      <c r="K69" s="112"/>
      <c r="L69" s="112"/>
      <c r="M69" s="112"/>
      <c r="N69" s="112"/>
      <c r="O69" s="112"/>
    </row>
    <row r="70" spans="1:15" x14ac:dyDescent="0.3">
      <c r="A70" s="1"/>
      <c r="B70" s="1"/>
      <c r="C70" s="1"/>
      <c r="D70" s="1"/>
      <c r="E70" s="1"/>
      <c r="F70" s="1"/>
      <c r="G70" s="1"/>
      <c r="H70" s="1"/>
      <c r="I70" s="1"/>
      <c r="J70" s="1"/>
      <c r="K70" s="1"/>
      <c r="L70" s="1"/>
      <c r="M70" s="1"/>
      <c r="N70" s="1"/>
      <c r="O70" s="1"/>
    </row>
    <row r="71" spans="1:15" s="118" customFormat="1" x14ac:dyDescent="0.3">
      <c r="A71" s="117"/>
      <c r="B71" s="117"/>
      <c r="C71" s="117"/>
      <c r="D71" s="117"/>
      <c r="E71" s="117"/>
      <c r="F71" s="117"/>
      <c r="G71" s="117"/>
      <c r="H71" s="117"/>
      <c r="I71" s="117"/>
      <c r="J71" s="117"/>
      <c r="K71" s="117"/>
      <c r="L71" s="117"/>
      <c r="M71" s="117"/>
      <c r="N71" s="117"/>
      <c r="O71" s="117"/>
    </row>
    <row r="72" spans="1:15" x14ac:dyDescent="0.3">
      <c r="A72" s="1"/>
      <c r="B72" s="1"/>
      <c r="C72" s="1"/>
      <c r="D72" s="1"/>
      <c r="E72" s="1"/>
      <c r="F72" s="1"/>
      <c r="G72" s="1"/>
      <c r="H72" s="1"/>
      <c r="I72" s="1"/>
      <c r="J72" s="1"/>
      <c r="K72" s="1"/>
      <c r="L72" s="1"/>
      <c r="M72" s="1"/>
      <c r="N72" s="1"/>
      <c r="O72" s="1"/>
    </row>
    <row r="73" spans="1:15" s="92" customFormat="1" ht="21" customHeight="1" x14ac:dyDescent="0.3">
      <c r="A73" s="91"/>
      <c r="B73" s="93">
        <v>2014</v>
      </c>
      <c r="C73" s="91"/>
      <c r="D73" s="91"/>
      <c r="E73" s="91"/>
      <c r="F73" s="91"/>
      <c r="G73" s="91"/>
      <c r="H73" s="91"/>
      <c r="I73" s="91"/>
      <c r="J73" s="91"/>
      <c r="K73" s="91"/>
      <c r="L73" s="91"/>
      <c r="M73" s="91"/>
      <c r="N73" s="91"/>
      <c r="O73" s="91"/>
    </row>
    <row r="74" spans="1:15" x14ac:dyDescent="0.3">
      <c r="A74" s="1"/>
      <c r="B74" s="1"/>
      <c r="C74" s="1"/>
      <c r="D74" s="1"/>
      <c r="E74" s="1"/>
      <c r="F74" s="1"/>
      <c r="G74" s="1"/>
      <c r="H74" s="1"/>
      <c r="I74" s="1"/>
      <c r="J74" s="1"/>
      <c r="K74" s="1"/>
      <c r="L74" s="1"/>
      <c r="M74" s="1"/>
      <c r="N74" s="1"/>
      <c r="O74" s="10"/>
    </row>
    <row r="75" spans="1:15" x14ac:dyDescent="0.3">
      <c r="A75" s="1"/>
      <c r="B75" s="1"/>
      <c r="C75" s="1"/>
      <c r="D75" s="1"/>
      <c r="E75" s="1"/>
      <c r="F75" s="1"/>
      <c r="G75" s="1"/>
      <c r="H75" s="1"/>
      <c r="I75" s="1"/>
      <c r="J75" s="1"/>
      <c r="K75" s="1"/>
      <c r="L75" s="1"/>
      <c r="M75" s="1"/>
      <c r="N75" s="1"/>
      <c r="O75" s="10"/>
    </row>
    <row r="76" spans="1:15" x14ac:dyDescent="0.3">
      <c r="A76" s="1"/>
      <c r="B76" s="1"/>
      <c r="C76" s="1"/>
      <c r="D76" s="1"/>
      <c r="E76" s="1"/>
      <c r="F76" s="1"/>
      <c r="G76" s="1"/>
      <c r="H76" s="1"/>
      <c r="I76" s="1"/>
      <c r="J76" s="1"/>
      <c r="K76" s="1"/>
      <c r="L76" s="1"/>
      <c r="M76" s="1"/>
      <c r="N76" s="1"/>
      <c r="O76" s="10"/>
    </row>
    <row r="77" spans="1:15" x14ac:dyDescent="0.3">
      <c r="A77" s="1"/>
      <c r="B77" s="1"/>
      <c r="C77" s="1"/>
      <c r="D77" s="1"/>
      <c r="E77" s="1"/>
      <c r="F77" s="1"/>
      <c r="G77" s="1"/>
      <c r="H77" s="1"/>
      <c r="I77" s="1"/>
      <c r="J77" s="1"/>
      <c r="K77" s="1"/>
      <c r="L77" s="1"/>
      <c r="M77" s="1"/>
      <c r="N77" s="1"/>
      <c r="O77" s="10"/>
    </row>
    <row r="78" spans="1:15" x14ac:dyDescent="0.3">
      <c r="A78" s="1"/>
      <c r="B78" s="1"/>
      <c r="C78" s="1"/>
      <c r="D78" s="1"/>
      <c r="E78" s="1"/>
      <c r="F78" s="1"/>
      <c r="G78" s="1"/>
      <c r="H78" s="1"/>
      <c r="I78" s="1"/>
      <c r="J78" s="1"/>
      <c r="K78" s="1"/>
      <c r="L78" s="1"/>
      <c r="M78" s="1"/>
      <c r="N78" s="1"/>
      <c r="O78" s="10"/>
    </row>
    <row r="79" spans="1:15" x14ac:dyDescent="0.3">
      <c r="A79" s="1"/>
      <c r="B79" s="1"/>
      <c r="C79" s="1"/>
      <c r="D79" s="1"/>
      <c r="E79" s="1"/>
      <c r="F79" s="1"/>
      <c r="G79" s="1"/>
      <c r="H79" s="1"/>
      <c r="I79" s="1"/>
      <c r="J79" s="1"/>
      <c r="K79" s="1"/>
      <c r="L79" s="1"/>
      <c r="M79" s="1"/>
      <c r="N79" s="1"/>
      <c r="O79" s="10"/>
    </row>
    <row r="80" spans="1:15" x14ac:dyDescent="0.3">
      <c r="A80" s="1"/>
      <c r="B80" s="1"/>
      <c r="C80" s="1"/>
      <c r="D80" s="1"/>
      <c r="E80" s="1"/>
      <c r="F80" s="1"/>
      <c r="G80" s="1"/>
      <c r="H80" s="1"/>
      <c r="I80" s="1"/>
      <c r="J80" s="1"/>
      <c r="K80" s="1"/>
      <c r="L80" s="1"/>
      <c r="M80" s="1"/>
      <c r="N80" s="1"/>
      <c r="O80" s="10"/>
    </row>
    <row r="81" spans="1:15" x14ac:dyDescent="0.3">
      <c r="A81" s="1"/>
      <c r="B81" s="1"/>
      <c r="C81" s="1"/>
      <c r="D81" s="1"/>
      <c r="E81" s="1"/>
      <c r="F81" s="1"/>
      <c r="G81" s="1"/>
      <c r="H81" s="1"/>
      <c r="I81" s="1"/>
      <c r="J81" s="1"/>
      <c r="K81" s="1"/>
      <c r="L81" s="1"/>
      <c r="M81" s="1"/>
      <c r="N81" s="1"/>
      <c r="O81" s="10"/>
    </row>
    <row r="82" spans="1:15" x14ac:dyDescent="0.3">
      <c r="A82" s="1"/>
      <c r="B82" s="1"/>
      <c r="C82" s="1"/>
      <c r="D82" s="1"/>
      <c r="E82" s="1"/>
      <c r="F82" s="1"/>
      <c r="G82" s="1"/>
      <c r="H82" s="1"/>
      <c r="I82" s="1"/>
      <c r="J82" s="1"/>
      <c r="K82" s="1"/>
      <c r="L82" s="1"/>
      <c r="M82" s="1"/>
      <c r="N82" s="1"/>
      <c r="O82" s="10"/>
    </row>
    <row r="83" spans="1:15" x14ac:dyDescent="0.3">
      <c r="A83" s="1"/>
      <c r="B83" s="1"/>
      <c r="C83" s="1"/>
      <c r="D83" s="1"/>
      <c r="E83" s="1"/>
      <c r="F83" s="1"/>
      <c r="G83" s="1"/>
      <c r="H83" s="1"/>
      <c r="I83" s="1"/>
      <c r="J83" s="1"/>
      <c r="K83" s="1"/>
      <c r="L83" s="1"/>
      <c r="M83" s="1"/>
      <c r="N83" s="1"/>
      <c r="O83" s="10"/>
    </row>
    <row r="84" spans="1:15" x14ac:dyDescent="0.3">
      <c r="A84" s="1"/>
      <c r="B84" s="1"/>
      <c r="C84" s="1"/>
      <c r="D84" s="1"/>
      <c r="E84" s="1"/>
      <c r="F84" s="1"/>
      <c r="G84" s="1"/>
      <c r="H84" s="1"/>
      <c r="I84" s="1"/>
      <c r="J84" s="1"/>
      <c r="K84" s="1"/>
      <c r="L84" s="1"/>
      <c r="M84" s="1"/>
      <c r="N84" s="1"/>
      <c r="O84" s="10"/>
    </row>
    <row r="85" spans="1:15" x14ac:dyDescent="0.3">
      <c r="A85" s="1"/>
      <c r="B85" s="1"/>
      <c r="C85" s="1"/>
      <c r="D85" s="1"/>
      <c r="E85" s="1"/>
      <c r="F85" s="1"/>
      <c r="G85" s="1"/>
      <c r="H85" s="1"/>
      <c r="I85" s="1"/>
      <c r="J85" s="1"/>
      <c r="K85" s="1"/>
      <c r="L85" s="1"/>
      <c r="M85" s="1"/>
      <c r="N85" s="1"/>
      <c r="O85" s="10"/>
    </row>
    <row r="86" spans="1:15" x14ac:dyDescent="0.3">
      <c r="A86" s="1"/>
      <c r="B86" s="1"/>
      <c r="C86" s="1"/>
      <c r="D86" s="1"/>
      <c r="E86" s="1"/>
      <c r="F86" s="1"/>
      <c r="G86" s="1"/>
      <c r="H86" s="1"/>
      <c r="I86" s="1"/>
      <c r="J86" s="1"/>
      <c r="K86" s="1"/>
      <c r="L86" s="1"/>
      <c r="M86" s="1"/>
      <c r="N86" s="1"/>
      <c r="O86" s="10"/>
    </row>
    <row r="87" spans="1:15" x14ac:dyDescent="0.3">
      <c r="A87" s="1"/>
      <c r="B87" s="1"/>
      <c r="C87" s="1"/>
      <c r="D87" s="1"/>
      <c r="E87" s="1"/>
      <c r="F87" s="1"/>
      <c r="G87" s="1"/>
      <c r="H87" s="1"/>
      <c r="I87" s="1"/>
      <c r="J87" s="1"/>
      <c r="K87" s="1"/>
      <c r="L87" s="1"/>
      <c r="M87" s="1"/>
      <c r="N87" s="1"/>
      <c r="O87" s="10"/>
    </row>
    <row r="88" spans="1:15" x14ac:dyDescent="0.3">
      <c r="A88" s="1"/>
      <c r="B88" s="1"/>
      <c r="C88" s="1"/>
      <c r="D88" s="1"/>
      <c r="E88" s="1"/>
      <c r="F88" s="1"/>
      <c r="G88" s="1"/>
      <c r="H88" s="1"/>
      <c r="I88" s="1"/>
      <c r="J88" s="1"/>
      <c r="K88" s="1"/>
      <c r="L88" s="1"/>
      <c r="M88" s="1"/>
      <c r="N88" s="1"/>
      <c r="O88" s="10"/>
    </row>
    <row r="89" spans="1:15" x14ac:dyDescent="0.3">
      <c r="A89" s="1"/>
      <c r="B89" s="1"/>
      <c r="C89" s="1"/>
      <c r="D89" s="1"/>
      <c r="E89" s="1"/>
      <c r="F89" s="1"/>
      <c r="G89" s="1"/>
      <c r="H89" s="1"/>
      <c r="I89" s="1"/>
      <c r="J89" s="1"/>
      <c r="K89" s="1"/>
      <c r="L89" s="1"/>
      <c r="M89" s="1"/>
      <c r="N89" s="1"/>
      <c r="O89" s="10"/>
    </row>
    <row r="90" spans="1:15" x14ac:dyDescent="0.3">
      <c r="A90" s="1"/>
      <c r="B90" s="1"/>
      <c r="C90" s="1"/>
      <c r="D90" s="1"/>
      <c r="E90" s="1"/>
      <c r="F90" s="1"/>
      <c r="G90" s="1"/>
      <c r="H90" s="1"/>
      <c r="I90" s="1"/>
      <c r="J90" s="1"/>
      <c r="K90" s="1"/>
      <c r="L90" s="1"/>
      <c r="M90" s="1"/>
      <c r="N90" s="1"/>
      <c r="O90" s="10"/>
    </row>
    <row r="91" spans="1:15" x14ac:dyDescent="0.3">
      <c r="A91" s="1"/>
      <c r="B91" s="1"/>
      <c r="C91" s="1"/>
      <c r="D91" s="1"/>
      <c r="E91" s="1"/>
      <c r="F91" s="1"/>
      <c r="G91" s="1"/>
      <c r="H91" s="1"/>
      <c r="I91" s="1"/>
      <c r="J91" s="1"/>
      <c r="K91" s="1"/>
      <c r="L91" s="1"/>
      <c r="M91" s="1"/>
      <c r="N91" s="1"/>
      <c r="O91" s="10"/>
    </row>
    <row r="92" spans="1:15" x14ac:dyDescent="0.3">
      <c r="A92" s="1"/>
      <c r="B92" s="1"/>
      <c r="C92" s="1"/>
      <c r="D92" s="1"/>
      <c r="E92" s="1"/>
      <c r="F92" s="1"/>
      <c r="G92" s="1"/>
      <c r="H92" s="1"/>
      <c r="I92" s="1"/>
      <c r="J92" s="1"/>
      <c r="K92" s="1"/>
      <c r="L92" s="1"/>
      <c r="M92" s="1"/>
      <c r="N92" s="1"/>
      <c r="O92" s="10"/>
    </row>
    <row r="93" spans="1:15" x14ac:dyDescent="0.3">
      <c r="A93" s="1"/>
      <c r="B93" s="1"/>
      <c r="C93" s="1"/>
      <c r="D93" s="1"/>
      <c r="E93" s="1"/>
      <c r="F93" s="1"/>
      <c r="G93" s="1"/>
      <c r="H93" s="1"/>
      <c r="I93" s="1"/>
      <c r="J93" s="1"/>
      <c r="K93" s="1"/>
      <c r="L93" s="1"/>
      <c r="M93" s="1"/>
      <c r="N93" s="1"/>
      <c r="O93" s="10"/>
    </row>
    <row r="94" spans="1:15" x14ac:dyDescent="0.3">
      <c r="A94" s="1"/>
      <c r="B94" s="1"/>
      <c r="C94" s="1"/>
      <c r="D94" s="1"/>
      <c r="E94" s="1"/>
      <c r="F94" s="1"/>
      <c r="G94" s="1"/>
      <c r="H94" s="1"/>
      <c r="I94" s="1"/>
      <c r="J94" s="1"/>
      <c r="K94" s="1"/>
      <c r="L94" s="1"/>
      <c r="M94" s="1"/>
      <c r="N94" s="1"/>
      <c r="O94" s="10"/>
    </row>
    <row r="95" spans="1:15" x14ac:dyDescent="0.3">
      <c r="A95" s="1"/>
      <c r="B95" s="1"/>
      <c r="C95" s="1"/>
      <c r="D95" s="1"/>
      <c r="E95" s="1"/>
      <c r="F95" s="1"/>
      <c r="G95" s="1"/>
      <c r="H95" s="1"/>
      <c r="I95" s="1"/>
      <c r="J95" s="1"/>
      <c r="K95" s="1"/>
      <c r="L95" s="1"/>
      <c r="M95" s="1"/>
      <c r="N95" s="1"/>
      <c r="O95" s="10"/>
    </row>
    <row r="96" spans="1:15" x14ac:dyDescent="0.3">
      <c r="A96" s="1"/>
      <c r="B96" s="1"/>
      <c r="C96" s="1"/>
      <c r="D96" s="1"/>
      <c r="E96" s="1"/>
      <c r="F96" s="1"/>
      <c r="G96" s="1"/>
      <c r="H96" s="1"/>
      <c r="I96" s="1"/>
      <c r="J96" s="1"/>
      <c r="K96" s="1"/>
      <c r="L96" s="1"/>
      <c r="M96" s="1"/>
      <c r="N96" s="1"/>
      <c r="O96" s="10"/>
    </row>
    <row r="97" spans="1:15" x14ac:dyDescent="0.3">
      <c r="A97" s="1"/>
      <c r="B97" s="1"/>
      <c r="C97" s="1"/>
      <c r="D97" s="1"/>
      <c r="E97" s="1"/>
      <c r="F97" s="1"/>
      <c r="G97" s="1"/>
      <c r="H97" s="1"/>
      <c r="I97" s="1"/>
      <c r="J97" s="1"/>
      <c r="K97" s="1"/>
      <c r="L97" s="1"/>
      <c r="M97" s="1"/>
      <c r="N97" s="1"/>
      <c r="O97" s="10"/>
    </row>
    <row r="98" spans="1:15" x14ac:dyDescent="0.3">
      <c r="A98" s="1"/>
      <c r="B98" s="1"/>
      <c r="C98" s="1"/>
      <c r="D98" s="1"/>
      <c r="E98" s="1"/>
      <c r="F98" s="1"/>
      <c r="G98" s="1"/>
      <c r="H98" s="1"/>
      <c r="I98" s="1"/>
      <c r="J98" s="1"/>
      <c r="K98" s="1"/>
      <c r="L98" s="1"/>
      <c r="M98" s="1"/>
      <c r="N98" s="1"/>
      <c r="O98" s="10"/>
    </row>
    <row r="99" spans="1:15" x14ac:dyDescent="0.3">
      <c r="A99" s="1"/>
      <c r="B99" s="1"/>
      <c r="C99" s="1"/>
      <c r="D99" s="1"/>
      <c r="E99" s="1"/>
      <c r="F99" s="1"/>
      <c r="G99" s="1"/>
      <c r="H99" s="1"/>
      <c r="I99" s="1"/>
      <c r="J99" s="1"/>
      <c r="K99" s="1"/>
      <c r="L99" s="1"/>
      <c r="M99" s="1"/>
      <c r="N99" s="1"/>
      <c r="O99" s="10"/>
    </row>
  </sheetData>
  <mergeCells count="69">
    <mergeCell ref="B53:D53"/>
    <mergeCell ref="I53:J53"/>
    <mergeCell ref="I42:J42"/>
    <mergeCell ref="I49:J49"/>
    <mergeCell ref="I50:J50"/>
    <mergeCell ref="I51:J51"/>
    <mergeCell ref="I52:J52"/>
    <mergeCell ref="I43:J43"/>
    <mergeCell ref="I44:J44"/>
    <mergeCell ref="I45:J45"/>
    <mergeCell ref="I46:J46"/>
    <mergeCell ref="I47:J47"/>
    <mergeCell ref="I48:J48"/>
    <mergeCell ref="I41:J41"/>
    <mergeCell ref="I30:J30"/>
    <mergeCell ref="I31:J31"/>
    <mergeCell ref="I32:J32"/>
    <mergeCell ref="I33:J33"/>
    <mergeCell ref="I34:J34"/>
    <mergeCell ref="I35:J35"/>
    <mergeCell ref="I36:J36"/>
    <mergeCell ref="I37:J37"/>
    <mergeCell ref="I38:J38"/>
    <mergeCell ref="I39:J39"/>
    <mergeCell ref="I40:J40"/>
    <mergeCell ref="B17:E17"/>
    <mergeCell ref="F17:J17"/>
    <mergeCell ref="B19:E19"/>
    <mergeCell ref="F19:J19"/>
    <mergeCell ref="I29:J29"/>
    <mergeCell ref="B20:E20"/>
    <mergeCell ref="F20:J20"/>
    <mergeCell ref="B22:E22"/>
    <mergeCell ref="F22:J22"/>
    <mergeCell ref="B23:E23"/>
    <mergeCell ref="F23:J23"/>
    <mergeCell ref="B25:D25"/>
    <mergeCell ref="I25:J25"/>
    <mergeCell ref="I26:J26"/>
    <mergeCell ref="I27:J27"/>
    <mergeCell ref="I28:J28"/>
    <mergeCell ref="C2:H2"/>
    <mergeCell ref="F58:F60"/>
    <mergeCell ref="G58:G60"/>
    <mergeCell ref="H58:H60"/>
    <mergeCell ref="I58:I60"/>
    <mergeCell ref="B57:D57"/>
    <mergeCell ref="B60:D60"/>
    <mergeCell ref="B59:D59"/>
    <mergeCell ref="B12:E12"/>
    <mergeCell ref="F12:J12"/>
    <mergeCell ref="C5:F5"/>
    <mergeCell ref="I5:J5"/>
    <mergeCell ref="B11:E11"/>
    <mergeCell ref="F11:J11"/>
    <mergeCell ref="B16:E16"/>
    <mergeCell ref="F16:J16"/>
    <mergeCell ref="J58:J60"/>
    <mergeCell ref="B58:D58"/>
    <mergeCell ref="B69:D69"/>
    <mergeCell ref="E58:E60"/>
    <mergeCell ref="B65:C65"/>
    <mergeCell ref="B66:C66"/>
    <mergeCell ref="B67:C67"/>
    <mergeCell ref="B68:C68"/>
    <mergeCell ref="B61:C61"/>
    <mergeCell ref="B62:C62"/>
    <mergeCell ref="B63:C63"/>
    <mergeCell ref="B64:C64"/>
  </mergeCells>
  <dataValidations xWindow="821" yWindow="739" count="1">
    <dataValidation type="list" allowBlank="1" showInputMessage="1" showErrorMessage="1" errorTitle="Error" error="Score should integer between 1 and 5" promptTitle="Score" prompt="Select 1-5 based on scoring table descriptions" sqref="E61:E68 I61:I68 G61:G68 F27:F52">
      <formula1>"1,2,3,4,5"</formula1>
    </dataValidation>
  </dataValidations>
  <pageMargins left="0.7" right="0.7" top="0.75" bottom="0.75" header="0.3" footer="0.3"/>
  <pageSetup orientation="portrait" horizontalDpi="200" verticalDpi="20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Document Change History</vt:lpstr>
      <vt:lpstr>Engineer Member</vt:lpstr>
      <vt:lpstr>Skill Matrix_ENG</vt:lpstr>
      <vt:lpstr>Skill Database ENG</vt:lpstr>
      <vt:lpstr>PTP_ENG-23</vt:lpstr>
      <vt:lpstr>PTP_ENG-22</vt:lpstr>
      <vt:lpstr>PTP_ENG-21</vt:lpstr>
      <vt:lpstr>PTP_ENG-20</vt:lpstr>
      <vt:lpstr>PTP_ENG-19</vt:lpstr>
      <vt:lpstr>PTP_ENG-18</vt:lpstr>
      <vt:lpstr>PTP_ENG-17</vt:lpstr>
      <vt:lpstr>PTP_ENG-16</vt:lpstr>
      <vt:lpstr>PTP_ENG-15</vt:lpstr>
      <vt:lpstr>PTP_ENG-14</vt:lpstr>
      <vt:lpstr>PTP_ENG-13</vt:lpstr>
      <vt:lpstr>PTP_ENG-12</vt:lpstr>
      <vt:lpstr>PTP_ENG-11</vt:lpstr>
      <vt:lpstr>PTP_ENG-10</vt:lpstr>
      <vt:lpstr>PTP_ENG-9</vt:lpstr>
      <vt:lpstr>PTP_ENG-8</vt:lpstr>
      <vt:lpstr>PTP_ENG-7</vt:lpstr>
      <vt:lpstr>PTP_ENG-6</vt:lpstr>
      <vt:lpstr>PTP_ENG-5</vt:lpstr>
      <vt:lpstr>PTP_ENG-4</vt:lpstr>
      <vt:lpstr>PTP_ENG-3</vt:lpstr>
      <vt:lpstr>PTP_ENG-2</vt:lpstr>
      <vt:lpstr>PTP_ENG-1</vt:lpstr>
      <vt:lpstr>Training Survey_ENG</vt:lpstr>
      <vt:lpstr>PTP_ENG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Nipon</dc:creator>
  <cp:lastModifiedBy>Nipon</cp:lastModifiedBy>
  <dcterms:created xsi:type="dcterms:W3CDTF">2015-05-14T05:03:26Z</dcterms:created>
  <dcterms:modified xsi:type="dcterms:W3CDTF">2015-06-02T10:09:50Z</dcterms:modified>
</cp:coreProperties>
</file>